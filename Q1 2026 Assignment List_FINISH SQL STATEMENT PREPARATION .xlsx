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olarisind-my.sharepoint.com/personal/dgutierr_polarisind_com/Documents/Desktop/Projects/2026/Physical Inventory Project/AreaImport/"/>
    </mc:Choice>
  </mc:AlternateContent>
  <xr:revisionPtr revIDLastSave="0" documentId="8_{D7CB2728-1F3C-4BF1-9A5F-40E77E8BB1E6}" xr6:coauthVersionLast="47" xr6:coauthVersionMax="47" xr10:uidLastSave="{00000000-0000-0000-0000-000000000000}"/>
  <bookViews>
    <workbookView xWindow="-120" yWindow="-120" windowWidth="51840" windowHeight="21120" firstSheet="1" activeTab="1" xr2:uid="{00000000-000D-0000-FFFF-FFFF00000000}"/>
  </bookViews>
  <sheets>
    <sheet name="QTR 1 2026 Assignment" sheetId="9" r:id="rId1"/>
    <sheet name="Staged" sheetId="11" r:id="rId2"/>
  </sheets>
  <definedNames>
    <definedName name="_xlnm._FilterDatabase" localSheetId="0" hidden="1">'QTR 1 2026 Assignment'!$A$6:$I$290</definedName>
    <definedName name="_xlnm.Print_Area" localSheetId="0">'QTR 1 2026 Assignment'!$A$1:$F$295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7" i="11" l="1"/>
  <c r="X186" i="11"/>
  <c r="X185" i="11"/>
  <c r="X184" i="11"/>
  <c r="X183" i="11"/>
  <c r="X182" i="11"/>
  <c r="X181" i="11"/>
  <c r="X180" i="11"/>
  <c r="X179" i="11"/>
  <c r="X178" i="11"/>
  <c r="X177" i="11"/>
  <c r="X176" i="11"/>
  <c r="X175" i="11"/>
  <c r="X174" i="11"/>
  <c r="X173" i="11"/>
  <c r="X172" i="11"/>
  <c r="X171" i="11"/>
  <c r="X170" i="11"/>
  <c r="X169" i="11"/>
  <c r="X168" i="11"/>
  <c r="X167" i="11"/>
  <c r="X166" i="11"/>
  <c r="X165" i="11"/>
  <c r="X164" i="11"/>
  <c r="X163" i="11"/>
  <c r="X162" i="11"/>
  <c r="X161" i="11"/>
  <c r="X160" i="11"/>
  <c r="X159" i="11"/>
  <c r="X158" i="11"/>
  <c r="X157" i="11"/>
  <c r="X156" i="11"/>
  <c r="X155" i="11"/>
  <c r="X154" i="11"/>
  <c r="X153" i="11"/>
  <c r="X152" i="11"/>
  <c r="X151" i="11"/>
  <c r="X150" i="11"/>
  <c r="X149" i="11"/>
  <c r="X148" i="11"/>
  <c r="X147" i="11"/>
  <c r="X146" i="11"/>
  <c r="X145" i="11"/>
  <c r="X144" i="11"/>
  <c r="X143" i="11"/>
  <c r="X142" i="11"/>
  <c r="X141" i="11"/>
  <c r="X140" i="11"/>
  <c r="X139" i="11"/>
  <c r="X138" i="11"/>
  <c r="X137" i="11"/>
  <c r="X136" i="11"/>
  <c r="X135" i="11"/>
  <c r="X134" i="11"/>
  <c r="X133" i="11"/>
  <c r="X132" i="11"/>
  <c r="X131" i="11"/>
  <c r="X130" i="11"/>
  <c r="X129" i="11"/>
  <c r="X128" i="11"/>
  <c r="X127" i="11"/>
  <c r="X126" i="11"/>
  <c r="X125" i="11"/>
  <c r="X124" i="11"/>
  <c r="X123" i="11"/>
  <c r="X122" i="11"/>
  <c r="X121" i="11"/>
  <c r="X120" i="11"/>
  <c r="X119" i="11"/>
  <c r="X118" i="11"/>
  <c r="X117" i="11"/>
  <c r="X116" i="11"/>
  <c r="X115" i="11"/>
  <c r="X114" i="11"/>
  <c r="X113" i="11"/>
  <c r="X112" i="11"/>
  <c r="X111" i="11"/>
  <c r="X110" i="11"/>
  <c r="X109" i="11"/>
  <c r="X108" i="11"/>
  <c r="X107" i="11"/>
  <c r="X106" i="11"/>
  <c r="X105" i="11"/>
  <c r="X104" i="11"/>
  <c r="X103" i="11"/>
  <c r="X102" i="11"/>
  <c r="X101" i="11"/>
  <c r="X100" i="11"/>
  <c r="X99" i="11"/>
  <c r="X98" i="11"/>
  <c r="X97" i="11"/>
  <c r="X96" i="11"/>
  <c r="X95" i="11"/>
  <c r="X94" i="11"/>
  <c r="X93" i="11"/>
  <c r="X92" i="11"/>
  <c r="X91" i="11"/>
  <c r="X90" i="11"/>
  <c r="X89" i="11"/>
  <c r="X88" i="11"/>
  <c r="X87" i="11"/>
  <c r="X86" i="11"/>
  <c r="X85" i="11"/>
  <c r="X84" i="11"/>
  <c r="X83" i="11"/>
  <c r="X82" i="11"/>
  <c r="X81" i="11"/>
  <c r="X80" i="11"/>
  <c r="X79" i="11"/>
  <c r="X78" i="11"/>
  <c r="X77" i="11"/>
  <c r="X76" i="11"/>
  <c r="X75" i="11"/>
  <c r="X74" i="11"/>
  <c r="X73" i="11"/>
  <c r="X72" i="11"/>
  <c r="X71" i="11"/>
  <c r="X70" i="11"/>
  <c r="X69" i="11"/>
  <c r="X68" i="11"/>
  <c r="X67" i="11"/>
  <c r="X66" i="11"/>
  <c r="X65" i="11"/>
  <c r="X64" i="11"/>
  <c r="X63" i="11"/>
  <c r="X62" i="11"/>
  <c r="X61" i="11"/>
  <c r="X60" i="11"/>
  <c r="X59" i="11"/>
  <c r="X58" i="11"/>
  <c r="X57" i="11"/>
  <c r="X56" i="11"/>
  <c r="X55" i="11"/>
  <c r="X54" i="11"/>
  <c r="X53" i="11"/>
  <c r="X52" i="11"/>
  <c r="X51" i="11"/>
  <c r="X50" i="11"/>
  <c r="X49" i="11"/>
  <c r="X48" i="11"/>
  <c r="X47" i="11"/>
  <c r="X46" i="11"/>
  <c r="X45" i="11"/>
  <c r="X44" i="11"/>
  <c r="X43" i="11"/>
  <c r="X42" i="11"/>
  <c r="X41" i="11"/>
  <c r="X40" i="11"/>
  <c r="X39" i="11"/>
  <c r="X38" i="11"/>
  <c r="X37" i="11"/>
  <c r="X36" i="11"/>
  <c r="X35" i="11"/>
  <c r="X34" i="11"/>
  <c r="X33" i="11"/>
  <c r="X32" i="11"/>
  <c r="X31" i="11"/>
  <c r="X30" i="11"/>
  <c r="X29" i="11"/>
  <c r="X28" i="11"/>
  <c r="X27" i="11"/>
  <c r="X26" i="11"/>
  <c r="X25" i="11"/>
  <c r="X24" i="11"/>
  <c r="X23" i="11"/>
  <c r="X22" i="11"/>
  <c r="X21" i="11"/>
  <c r="X20" i="11"/>
  <c r="X19" i="11"/>
  <c r="X18" i="11"/>
  <c r="X17" i="11"/>
  <c r="X16" i="11"/>
  <c r="X15" i="11"/>
  <c r="X14" i="11"/>
  <c r="X13" i="11"/>
  <c r="X12" i="11"/>
  <c r="X11" i="11"/>
  <c r="X10" i="11"/>
  <c r="X9" i="11"/>
  <c r="X8" i="11"/>
  <c r="X7" i="11"/>
  <c r="X6" i="11"/>
  <c r="X5" i="11"/>
  <c r="X4" i="11"/>
  <c r="X3" i="11"/>
  <c r="X2" i="11"/>
  <c r="U187" i="11"/>
  <c r="U186" i="11"/>
  <c r="U185" i="11"/>
  <c r="U184" i="11"/>
  <c r="U183" i="11"/>
  <c r="U182" i="11"/>
  <c r="U181" i="11"/>
  <c r="U180" i="11"/>
  <c r="U179" i="11"/>
  <c r="U178" i="11"/>
  <c r="U177" i="11"/>
  <c r="U176" i="11"/>
  <c r="U175" i="11"/>
  <c r="U174" i="11"/>
  <c r="U173" i="11"/>
  <c r="U172" i="11"/>
  <c r="U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U153" i="11"/>
  <c r="U152" i="11"/>
  <c r="U151" i="11"/>
  <c r="U150" i="11"/>
  <c r="U149" i="11"/>
  <c r="U148" i="11"/>
  <c r="U147" i="11"/>
  <c r="U146" i="11"/>
  <c r="U145" i="11"/>
  <c r="U144" i="11"/>
  <c r="U143" i="11"/>
  <c r="U142" i="11"/>
  <c r="U141" i="11"/>
  <c r="U140" i="11"/>
  <c r="U139" i="11"/>
  <c r="U138" i="11"/>
  <c r="U137" i="11"/>
  <c r="U136" i="11"/>
  <c r="U135" i="11"/>
  <c r="U134" i="11"/>
  <c r="U133" i="11"/>
  <c r="U132" i="11"/>
  <c r="U131" i="11"/>
  <c r="U130" i="11"/>
  <c r="U129" i="11"/>
  <c r="U128" i="11"/>
  <c r="U127" i="11"/>
  <c r="U126" i="11"/>
  <c r="U125" i="11"/>
  <c r="U124" i="11"/>
  <c r="U123" i="11"/>
  <c r="U122" i="11"/>
  <c r="U121" i="11"/>
  <c r="U120" i="11"/>
  <c r="U119" i="11"/>
  <c r="U118" i="11"/>
  <c r="U117" i="11"/>
  <c r="U116" i="11"/>
  <c r="U115" i="11"/>
  <c r="U114" i="11"/>
  <c r="U113" i="11"/>
  <c r="U112" i="11"/>
  <c r="U111" i="11"/>
  <c r="U110" i="11"/>
  <c r="U109" i="11"/>
  <c r="U108" i="11"/>
  <c r="U107" i="11"/>
  <c r="U106" i="11"/>
  <c r="U105" i="11"/>
  <c r="U104" i="11"/>
  <c r="U103" i="11"/>
  <c r="U102" i="11"/>
  <c r="U101" i="11"/>
  <c r="U100" i="11"/>
  <c r="U99" i="11"/>
  <c r="U98" i="11"/>
  <c r="U97" i="11"/>
  <c r="U96" i="11"/>
  <c r="U95" i="11"/>
  <c r="U94" i="11"/>
  <c r="U93" i="11"/>
  <c r="U92" i="11"/>
  <c r="U91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5" i="11"/>
  <c r="U74" i="11"/>
  <c r="U73" i="11"/>
  <c r="U72" i="11"/>
  <c r="U71" i="11"/>
  <c r="U70" i="11"/>
  <c r="U69" i="11"/>
  <c r="U68" i="11"/>
  <c r="U67" i="11"/>
  <c r="U66" i="11"/>
  <c r="U65" i="11"/>
  <c r="U64" i="11"/>
  <c r="U63" i="11"/>
  <c r="U62" i="11"/>
  <c r="U61" i="11"/>
  <c r="U60" i="11"/>
  <c r="U59" i="11"/>
  <c r="U58" i="11"/>
  <c r="U57" i="11"/>
  <c r="U56" i="11"/>
  <c r="U55" i="11"/>
  <c r="U54" i="11"/>
  <c r="U53" i="11"/>
  <c r="U52" i="11"/>
  <c r="U51" i="11"/>
  <c r="U50" i="11"/>
  <c r="U49" i="11"/>
  <c r="U48" i="11"/>
  <c r="U47" i="1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U6" i="11"/>
  <c r="U5" i="11"/>
  <c r="U4" i="11"/>
  <c r="U3" i="11"/>
  <c r="U2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T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R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Z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G159" i="9"/>
  <c r="G161" i="9"/>
  <c r="G160" i="9"/>
  <c r="G158" i="9"/>
  <c r="H198" i="9"/>
  <c r="I198" i="9"/>
  <c r="G162" i="9" l="1"/>
  <c r="H36" i="9"/>
  <c r="I36" i="9"/>
  <c r="H34" i="9"/>
  <c r="I34" i="9"/>
  <c r="H138" i="9"/>
  <c r="H139" i="9"/>
  <c r="H140" i="9"/>
  <c r="I114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6" i="9"/>
  <c r="H137" i="9"/>
  <c r="H113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44" i="9"/>
  <c r="H45" i="9"/>
  <c r="H46" i="9"/>
  <c r="H47" i="9"/>
  <c r="H48" i="9"/>
  <c r="H49" i="9"/>
  <c r="H50" i="9"/>
  <c r="H51" i="9"/>
  <c r="H52" i="9"/>
  <c r="H53" i="9"/>
  <c r="H54" i="9"/>
  <c r="H55" i="9"/>
  <c r="H61" i="9"/>
  <c r="H62" i="9"/>
  <c r="H63" i="9"/>
  <c r="H64" i="9"/>
  <c r="H65" i="9"/>
  <c r="H66" i="9"/>
  <c r="H69" i="9"/>
  <c r="H70" i="9"/>
  <c r="H71" i="9"/>
  <c r="H72" i="9"/>
  <c r="H73" i="9"/>
  <c r="H74" i="9"/>
  <c r="H75" i="9"/>
  <c r="H79" i="9"/>
  <c r="H80" i="9"/>
  <c r="H81" i="9"/>
  <c r="H82" i="9"/>
  <c r="H83" i="9"/>
  <c r="H84" i="9"/>
  <c r="H86" i="9"/>
  <c r="H87" i="9"/>
  <c r="H89" i="9"/>
  <c r="H90" i="9"/>
  <c r="H91" i="9"/>
  <c r="H92" i="9"/>
  <c r="H93" i="9"/>
  <c r="H94" i="9"/>
  <c r="H95" i="9"/>
  <c r="H96" i="9"/>
  <c r="H97" i="9"/>
  <c r="H98" i="9"/>
  <c r="H114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9" i="9"/>
  <c r="H200" i="9"/>
  <c r="H201" i="9"/>
  <c r="H202" i="9"/>
  <c r="H203" i="9"/>
  <c r="H205" i="9"/>
  <c r="H206" i="9"/>
  <c r="H207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32" i="9"/>
  <c r="H234" i="9"/>
  <c r="H235" i="9"/>
  <c r="H236" i="9"/>
  <c r="H237" i="9"/>
  <c r="H244" i="9"/>
  <c r="I234" i="9"/>
  <c r="I235" i="9"/>
  <c r="I236" i="9"/>
  <c r="I237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9" i="9"/>
  <c r="I200" i="9"/>
  <c r="I201" i="9"/>
  <c r="I202" i="9"/>
  <c r="I203" i="9"/>
  <c r="I205" i="9"/>
  <c r="I206" i="9"/>
  <c r="I207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113" i="9"/>
  <c r="I63" i="9"/>
  <c r="I64" i="9"/>
  <c r="I65" i="9"/>
  <c r="I66" i="9"/>
  <c r="I69" i="9"/>
  <c r="I70" i="9"/>
  <c r="I71" i="9"/>
  <c r="I72" i="9"/>
  <c r="I73" i="9"/>
  <c r="I74" i="9"/>
  <c r="I75" i="9"/>
  <c r="I79" i="9"/>
  <c r="I80" i="9"/>
  <c r="I81" i="9"/>
  <c r="I82" i="9"/>
  <c r="I83" i="9"/>
  <c r="I84" i="9"/>
  <c r="I86" i="9"/>
  <c r="I87" i="9"/>
  <c r="I89" i="9"/>
  <c r="I90" i="9"/>
  <c r="I91" i="9"/>
  <c r="I92" i="9"/>
  <c r="I93" i="9"/>
  <c r="I94" i="9"/>
  <c r="I96" i="9"/>
  <c r="I97" i="9"/>
  <c r="I98" i="9"/>
  <c r="I46" i="9"/>
  <c r="I47" i="9"/>
  <c r="I48" i="9"/>
  <c r="I49" i="9"/>
  <c r="I50" i="9"/>
  <c r="I51" i="9"/>
  <c r="I52" i="9"/>
  <c r="I53" i="9"/>
  <c r="I54" i="9"/>
  <c r="I55" i="9"/>
  <c r="I61" i="9"/>
  <c r="I62" i="9"/>
  <c r="I44" i="9"/>
  <c r="I45" i="9"/>
  <c r="I24" i="9"/>
  <c r="I25" i="9"/>
  <c r="I26" i="9"/>
  <c r="I27" i="9"/>
  <c r="I28" i="9"/>
  <c r="I29" i="9"/>
  <c r="I30" i="9"/>
  <c r="I31" i="9"/>
  <c r="I32" i="9"/>
  <c r="I33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7" i="9"/>
  <c r="H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tc={A850D253-6697-4BD8-983D-A07B16D0E5E6}</author>
    <author>tc={41F4DCFB-8FB6-4FA1-87CC-0C8FCD484523}</author>
    <author>tc={8315BC30-A126-4FD5-A9AC-14565D7675E6}</author>
    <author>tc={105D3790-F6AD-4D8A-A821-B2AEF17F17E3}</author>
    <author>tc={D0F2398B-E6C7-4B7F-A08C-44A7F6FD0271}</author>
  </authors>
  <commentList>
    <comment ref="A6" authorId="0" shapeId="0" xr:uid="{A850D253-6697-4BD8-983D-A07B16D0E5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Highlighted changes from Q4 2025 inventory - List of 16 people off to the side that should be assigned to a specific area for counting at 415 so there is minimal wasted time getting people over there to support.
</t>
      </text>
    </comment>
    <comment ref="B77" authorId="1" shapeId="0" xr:uid="{41F4DCFB-8FB6-4FA1-87CC-0C8FCD4845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area will need a few tags for hazardous material in the back corner of the warehouse</t>
      </text>
    </comment>
    <comment ref="B198" authorId="2" shapeId="0" xr:uid="{8315BC30-A126-4FD5-A9AC-14565D7675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5046 was split into two areas (5046/5071)
</t>
      </text>
    </comment>
    <comment ref="B209" authorId="3" shapeId="0" xr:uid="{105D3790-F6AD-4D8A-A821-B2AEF17F17E3}">
      <text>
        <t>[Threaded comment]
Your version of Excel allows you to read this threaded comment; however, any edits to it will get removed if the file is opened in a newer version of Excel. Learn more: https://go.microsoft.com/fwlink/?linkid=870924
Comment:
    Engines are now serialized, no tags needed.</t>
      </text>
    </comment>
    <comment ref="B230" authorId="4" shapeId="0" xr:uid="{D0F2398B-E6C7-4B7F-A08C-44A7F6FD0271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5067 Does Not Exist On Map for 415</t>
      </text>
    </comment>
  </commentList>
</comments>
</file>

<file path=xl/sharedStrings.xml><?xml version="1.0" encoding="utf-8"?>
<sst xmlns="http://schemas.openxmlformats.org/spreadsheetml/2006/main" count="2990" uniqueCount="916">
  <si>
    <t>Q1 INVENTORY ASSIGNMENTS LIST 2026</t>
  </si>
  <si>
    <t>Notes / Adjustments To Be Made</t>
  </si>
  <si>
    <t>Number of Tags Used Per Area / Prior Inventory</t>
  </si>
  <si>
    <t>Call For Clearing</t>
  </si>
  <si>
    <t xml:space="preserve">INVENTORY IS MANDATORY FOR ALL EMPLOYEE. ATTEDANCE POINTS WILL BE DOUBLED. INVENTORY IS A REGULARLY SCHEDULED WORK DAY. </t>
  </si>
  <si>
    <t xml:space="preserve">ALL EMPLOYEES SHOULD BE PREPARED TO BE ASSIGNED ADDITIONAL WORK AREAS AS NEEDED. PLEASE PREPARE TO WORK UNTIL DISMISSED.  </t>
  </si>
  <si>
    <t>CALL OR TEAMS KEENAN BURCH 574-747-9476 FOR ADDITIONAL ASSIGNMENT/DISMISSAL. IF YOU ARE NOT LISTED BELOW PLEASE CALL, TEXT OR EMAIL DAN FREDERICK 574-612-6169</t>
  </si>
  <si>
    <t>IF YOU ARE LISTED AS A BACKUP THEN PLEASE REPORT TO THE BUILDINGS PLANT MANAGER</t>
  </si>
  <si>
    <r>
      <t xml:space="preserve">NORTH BUILDING </t>
    </r>
    <r>
      <rPr>
        <b/>
        <sz val="16"/>
        <color rgb="FFFF0000"/>
        <rFont val="Arial"/>
        <family val="2"/>
      </rPr>
      <t>2807 DECIO DRIVE</t>
    </r>
  </si>
  <si>
    <t>AREA</t>
  </si>
  <si>
    <t>WRITER</t>
  </si>
  <si>
    <t>COUNTER</t>
  </si>
  <si>
    <t>%</t>
  </si>
  <si>
    <t>AUDITOR</t>
  </si>
  <si>
    <t>FRAMING -  XMEM</t>
  </si>
  <si>
    <t xml:space="preserve">James Powers </t>
  </si>
  <si>
    <t>Chris Clark  +  Mayra Moran</t>
  </si>
  <si>
    <t>Tori Allard</t>
  </si>
  <si>
    <t>FRAMING - PARTS &amp; OUTSIDE</t>
  </si>
  <si>
    <t>Lucas Hoover</t>
  </si>
  <si>
    <t>Matt Ernst</t>
  </si>
  <si>
    <t>Joseph Clair</t>
  </si>
  <si>
    <t>MOTOR PANS</t>
  </si>
  <si>
    <t>Jeremy Parrott</t>
  </si>
  <si>
    <t>Jason Blough</t>
  </si>
  <si>
    <t>Trever Schneider</t>
  </si>
  <si>
    <t>CROSS MEMBERS - TRANSOMS</t>
  </si>
  <si>
    <t>Chase Sulok</t>
  </si>
  <si>
    <t xml:space="preserve">Jillian Jacobs </t>
  </si>
  <si>
    <t>David Brunner</t>
  </si>
  <si>
    <t>BOWRIDER &amp; FRT XMEM</t>
  </si>
  <si>
    <t>Ryan Ayers</t>
  </si>
  <si>
    <t>Luis Granados</t>
  </si>
  <si>
    <t>Send these people from North to 415</t>
  </si>
  <si>
    <t>BOWRIDER SMALL PARTS</t>
  </si>
  <si>
    <t>Jesse Weddell</t>
  </si>
  <si>
    <t>Brandon Jackson</t>
  </si>
  <si>
    <t>Jessica Staley</t>
  </si>
  <si>
    <t>David Kittimask</t>
  </si>
  <si>
    <t>SMALL PARTS &amp; CHINES &amp; FOILS</t>
  </si>
  <si>
    <t>Jeff Riggs</t>
  </si>
  <si>
    <t>Rodrigo Resendiz + Roberto Cuevas</t>
  </si>
  <si>
    <t>Mark Pozzi</t>
  </si>
  <si>
    <t>SAW &amp; CHINE</t>
  </si>
  <si>
    <t>John Anderson</t>
  </si>
  <si>
    <t>Phillip Pollard</t>
  </si>
  <si>
    <t>Brandon Jones</t>
  </si>
  <si>
    <t>Dienieth Bermudez</t>
  </si>
  <si>
    <t>FAB (NORTH) BREAK PRESS &amp; RACKS</t>
  </si>
  <si>
    <t>Sergio Arellano Jr</t>
  </si>
  <si>
    <t>Isabel Gomez</t>
  </si>
  <si>
    <t>Edward Coates</t>
  </si>
  <si>
    <t>FAB (NORTH) FLAT STOCK</t>
  </si>
  <si>
    <t>Rigoberto Garcia Torres</t>
  </si>
  <si>
    <t>Miquel Ortiz</t>
  </si>
  <si>
    <t>GeriLynn Olson</t>
  </si>
  <si>
    <t>Eugene Gordon</t>
  </si>
  <si>
    <t>CHINE MATERIAL</t>
  </si>
  <si>
    <r>
      <t>John Azuladua</t>
    </r>
    <r>
      <rPr>
        <sz val="16"/>
        <color rgb="FFFF0000"/>
        <rFont val="Arial"/>
        <family val="2"/>
      </rPr>
      <t xml:space="preserve"> </t>
    </r>
  </si>
  <si>
    <t>Kevin Rogers</t>
  </si>
  <si>
    <t>Jordan Kenney</t>
  </si>
  <si>
    <t>Monica Gallegos</t>
  </si>
  <si>
    <t>FOIL STATIONS &amp; BRKTS</t>
  </si>
  <si>
    <t>Steven Christopher Jr.</t>
  </si>
  <si>
    <t>Isreal Jacinto</t>
  </si>
  <si>
    <t>Lucila Juarez</t>
  </si>
  <si>
    <t>AIR CHECK</t>
  </si>
  <si>
    <r>
      <t>Cristian Murillo</t>
    </r>
    <r>
      <rPr>
        <sz val="16"/>
        <color rgb="FFFF0000"/>
        <rFont val="Arial"/>
        <family val="2"/>
      </rPr>
      <t xml:space="preserve"> </t>
    </r>
  </si>
  <si>
    <t>Carlos Rivas</t>
  </si>
  <si>
    <t>Jesus Mosquera</t>
  </si>
  <si>
    <t>OUTSIDE - PANELS</t>
  </si>
  <si>
    <t>Cody Gouker</t>
  </si>
  <si>
    <t>David Flatter + Andrew Powers</t>
  </si>
  <si>
    <t>Haidein Boscan</t>
  </si>
  <si>
    <t>ROUND SEAM  - BRACKETS</t>
  </si>
  <si>
    <t>Avaughn Jamison</t>
  </si>
  <si>
    <t>Nate Simmons</t>
  </si>
  <si>
    <t>Juan Navarro</t>
  </si>
  <si>
    <t>NOSE STOCK</t>
  </si>
  <si>
    <t>Kathryn Palmer</t>
  </si>
  <si>
    <t>Aldinas Parades</t>
  </si>
  <si>
    <t>Quincy Owens</t>
  </si>
  <si>
    <t>NEW BLDG, ENGINEERING</t>
  </si>
  <si>
    <t>Jaidon Hainey</t>
  </si>
  <si>
    <t>Ian Smith</t>
  </si>
  <si>
    <t>Tyler Garner</t>
  </si>
  <si>
    <t>NOSE CONES</t>
  </si>
  <si>
    <t>Brendon Walkling</t>
  </si>
  <si>
    <t>Alex Keodouangphim</t>
  </si>
  <si>
    <t>Norma Reynolds</t>
  </si>
  <si>
    <t>Ronnie Hart</t>
  </si>
  <si>
    <t>BAFFLES &amp; SEAMERS</t>
  </si>
  <si>
    <t>Nickolas Olson</t>
  </si>
  <si>
    <t>Alec Kauffman</t>
  </si>
  <si>
    <t>Tristen Thorpe</t>
  </si>
  <si>
    <t>FAB (WEST)  RACKS &amp; WAVE TAME</t>
  </si>
  <si>
    <t>Enrique Hernandez</t>
  </si>
  <si>
    <t>Roger Davis  +  Michael Hyman</t>
  </si>
  <si>
    <t>Andrew Brown</t>
  </si>
  <si>
    <t>Paul Thorpe</t>
  </si>
  <si>
    <t>FAB (WEST)  FLAT STOCK</t>
  </si>
  <si>
    <t>Michael Smith</t>
  </si>
  <si>
    <t>Hector Lopez</t>
  </si>
  <si>
    <t>Jeff Edwards</t>
  </si>
  <si>
    <t>FAB/BRKT RACKING</t>
  </si>
  <si>
    <t>Sergio Arellano</t>
  </si>
  <si>
    <t>Anthony Nava</t>
  </si>
  <si>
    <t>CROSS MEMBER ASSY/TRANSOMS</t>
  </si>
  <si>
    <t>Steven Smith</t>
  </si>
  <si>
    <t>Gary Hoskan + Tim Robinson</t>
  </si>
  <si>
    <t>AFT DECKS</t>
  </si>
  <si>
    <t>Frank Stinnett</t>
  </si>
  <si>
    <t>Matthew Fenwick</t>
  </si>
  <si>
    <t>Eric Egert</t>
  </si>
  <si>
    <t>OUTSIDE - EAST CROSS MEMBERS</t>
  </si>
  <si>
    <t>Jose Garcia</t>
  </si>
  <si>
    <t>Fernando Javier Ortiz + Jose Torres</t>
  </si>
  <si>
    <t>TANKS &amp; OUTSIDE EAST GAS TANKS</t>
  </si>
  <si>
    <t>Roberto Gonzalez</t>
  </si>
  <si>
    <t>Marcos Acedo</t>
  </si>
  <si>
    <t>Area on map has inside and outside location</t>
  </si>
  <si>
    <t>FRAMING - OUTSIDE</t>
  </si>
  <si>
    <t>Ron Kauffman</t>
  </si>
  <si>
    <t>John Landcaster + Monty Morris</t>
  </si>
  <si>
    <t>INSIDE WELD TEST I/O AREA</t>
  </si>
  <si>
    <t>Anna Martorano</t>
  </si>
  <si>
    <t>Austin Wise  +  Lam Huynh</t>
  </si>
  <si>
    <t>TRANSOM INVENTORY</t>
  </si>
  <si>
    <t>Chris Wrobel</t>
  </si>
  <si>
    <t>Drew Staley</t>
  </si>
  <si>
    <t>WEST HALF OF OUTSIDE AREA #1015 (SPLIT IN HALF)</t>
  </si>
  <si>
    <t>Chance Lindsay</t>
  </si>
  <si>
    <t>James Meyer +  Pascual Sanchez</t>
  </si>
  <si>
    <t>FORKLIFT DRIVER</t>
  </si>
  <si>
    <t>Deverence Jackson/David Flatter</t>
  </si>
  <si>
    <t>NORTH BUIDING BACKUP</t>
  </si>
  <si>
    <t>Bounyadeth Vongsa</t>
  </si>
  <si>
    <t>Jesus Torres Arellano</t>
  </si>
  <si>
    <t>Johnathan Beechler</t>
  </si>
  <si>
    <t>Pedro Flores</t>
  </si>
  <si>
    <r>
      <t xml:space="preserve">WEST BUILDING </t>
    </r>
    <r>
      <rPr>
        <b/>
        <sz val="16"/>
        <color rgb="FFFF0000"/>
        <rFont val="Arial"/>
        <family val="2"/>
      </rPr>
      <t>3501 REEDY DRIVE</t>
    </r>
  </si>
  <si>
    <t>RAILS</t>
  </si>
  <si>
    <t>Samantha Scott</t>
  </si>
  <si>
    <t xml:space="preserve">James Reed </t>
  </si>
  <si>
    <t>Alvaro Scherer</t>
  </si>
  <si>
    <t>Lindsie Sidenbender</t>
  </si>
  <si>
    <t>Louis Price</t>
  </si>
  <si>
    <t>D'Amore, Michael</t>
  </si>
  <si>
    <t>Jordan Lane</t>
  </si>
  <si>
    <t>Nick Hanrahan</t>
  </si>
  <si>
    <t>Bradley Greene</t>
  </si>
  <si>
    <t>Christine Fausnaugh</t>
  </si>
  <si>
    <t>Steven Edwards</t>
  </si>
  <si>
    <t>Kara Burch</t>
  </si>
  <si>
    <t>Jason Schumacher</t>
  </si>
  <si>
    <t>Tijonna Docekai - Robbins</t>
  </si>
  <si>
    <t>Hector Jacobo</t>
  </si>
  <si>
    <t>Roosevelt Stevens</t>
  </si>
  <si>
    <t>Kenny Bennett</t>
  </si>
  <si>
    <t>Damon Harris</t>
  </si>
  <si>
    <t xml:space="preserve">Brenden Mullen </t>
  </si>
  <si>
    <t>Jade Young</t>
  </si>
  <si>
    <t>Reagan Plante</t>
  </si>
  <si>
    <t>Stuart Marshall</t>
  </si>
  <si>
    <t>Ronald Summers</t>
  </si>
  <si>
    <t>Richard Beehler</t>
  </si>
  <si>
    <t>Matthew Harrington</t>
  </si>
  <si>
    <t>Tracy Leer</t>
  </si>
  <si>
    <t>Mike Allred</t>
  </si>
  <si>
    <t>Chad Pontias</t>
  </si>
  <si>
    <t>Randy Gilbert</t>
  </si>
  <si>
    <t>Sam Fish</t>
  </si>
  <si>
    <t>Alvaro sScherer</t>
  </si>
  <si>
    <t>Victor Morales</t>
  </si>
  <si>
    <t>WEST BUILDING BACKUP</t>
  </si>
  <si>
    <t>Gerardo Reyes (M)</t>
  </si>
  <si>
    <t>Mike D'Amore</t>
  </si>
  <si>
    <r>
      <t xml:space="preserve">MAIN BUILDING </t>
    </r>
    <r>
      <rPr>
        <b/>
        <sz val="16"/>
        <color rgb="FFFF0000"/>
        <rFont val="Arial"/>
        <family val="2"/>
      </rPr>
      <t>2805 DECIO DRIVE</t>
    </r>
  </si>
  <si>
    <t>OUTSIDE - FLOOR DEPT</t>
  </si>
  <si>
    <t>Spencer Mazure</t>
  </si>
  <si>
    <t>Zachary Biddle</t>
  </si>
  <si>
    <t>Adam Wambaugh</t>
  </si>
  <si>
    <t>FLOORS/TRIM</t>
  </si>
  <si>
    <t>Dylan Thompson</t>
  </si>
  <si>
    <t>Alexander Friend</t>
  </si>
  <si>
    <t>GATES</t>
  </si>
  <si>
    <t>Leandro Morillo</t>
  </si>
  <si>
    <t>Hector Mendoza</t>
  </si>
  <si>
    <t>Mairo Hernandez</t>
  </si>
  <si>
    <t>STEERING CABLES</t>
  </si>
  <si>
    <t>Justin Schumacher</t>
  </si>
  <si>
    <t xml:space="preserve">Jacob Murphy </t>
  </si>
  <si>
    <t>William Reynolds</t>
  </si>
  <si>
    <t xml:space="preserve">PANEL FINISHING II </t>
  </si>
  <si>
    <t>Carlos Gonzalez</t>
  </si>
  <si>
    <t>David Perez</t>
  </si>
  <si>
    <t>Eliseo Perez Montiel</t>
  </si>
  <si>
    <t>PANEL FINISHING I</t>
  </si>
  <si>
    <t>Darwin Villasmil</t>
  </si>
  <si>
    <t>Isrrael Portocarrero</t>
  </si>
  <si>
    <t>BIMINI FRAMES OUTSIDE ( STATIONARY)</t>
  </si>
  <si>
    <t>Gabriel Reyes + Connor Treadway (Support)</t>
  </si>
  <si>
    <t>Carlos Flores</t>
  </si>
  <si>
    <t>Connor Treadway</t>
  </si>
  <si>
    <t>BIMINI TOPS / BIMINI FRAMES</t>
  </si>
  <si>
    <t>Enrique Hernandez + Connor Treadway (Support)</t>
  </si>
  <si>
    <t>Juan Garcia</t>
  </si>
  <si>
    <t>PANEL STOCK</t>
  </si>
  <si>
    <t>Brennan Condy</t>
  </si>
  <si>
    <t>Jose Rondon-Linares</t>
  </si>
  <si>
    <t xml:space="preserve">Jose Montiel </t>
  </si>
  <si>
    <t>PANEL INSTALL</t>
  </si>
  <si>
    <t>Dervin Reyes</t>
  </si>
  <si>
    <t>Chris Enders</t>
  </si>
  <si>
    <t>Da-Vontae Suggs</t>
  </si>
  <si>
    <t>Area on map spreads across two locations</t>
  </si>
  <si>
    <t>Stephanie Pixley</t>
  </si>
  <si>
    <t>Roberto Herencia</t>
  </si>
  <si>
    <t>Jilmer Dos Santos</t>
  </si>
  <si>
    <t>Fransisco Bibian</t>
  </si>
  <si>
    <t>RAILS INSIDE/OUTSIDE</t>
  </si>
  <si>
    <t>Brandon Lopez</t>
  </si>
  <si>
    <t>Delvis Brenton</t>
  </si>
  <si>
    <t>Khanethong Sourivong (Tiger)</t>
  </si>
  <si>
    <t>WAVE TAMER</t>
  </si>
  <si>
    <t>Josh Bowering</t>
  </si>
  <si>
    <t>Branndon Bowlby</t>
  </si>
  <si>
    <t xml:space="preserve">Billy Humphreys </t>
  </si>
  <si>
    <t>SHARKHIDE</t>
  </si>
  <si>
    <t xml:space="preserve">VEADA OFFSITE (415) </t>
  </si>
  <si>
    <t>3024-OS</t>
  </si>
  <si>
    <t>TBD</t>
  </si>
  <si>
    <t>VEADA FURNITURE--BACK WAREHOUSE</t>
  </si>
  <si>
    <t>Destiny Smith</t>
  </si>
  <si>
    <t>Timothy Smith</t>
  </si>
  <si>
    <t>Tony Tu</t>
  </si>
  <si>
    <t>Furniture is inventoried in Specs</t>
  </si>
  <si>
    <t>File</t>
  </si>
  <si>
    <t>Bradley Waelbroeck</t>
  </si>
  <si>
    <t>John Laubach</t>
  </si>
  <si>
    <t>Vanida Inthivong</t>
  </si>
  <si>
    <t>FIBERGLASS SWINGBACK</t>
  </si>
  <si>
    <t>Rob Hapner</t>
  </si>
  <si>
    <t>WAREHOUSE</t>
  </si>
  <si>
    <t>Joyce Wysong</t>
  </si>
  <si>
    <t>Derrick Cassell</t>
  </si>
  <si>
    <t>Chuck Coleman</t>
  </si>
  <si>
    <t>PRIVACY</t>
  </si>
  <si>
    <t xml:space="preserve">Vanida Unthivong </t>
  </si>
  <si>
    <t>Luis Gamez + Skinny</t>
  </si>
  <si>
    <t>FINAL/KITS</t>
  </si>
  <si>
    <t xml:space="preserve">Cameron Kantz </t>
  </si>
  <si>
    <t>Bambi Holliday</t>
  </si>
  <si>
    <t>Christal Trosper</t>
  </si>
  <si>
    <t>RECLINERS</t>
  </si>
  <si>
    <t xml:space="preserve">Luis Gamez + Skinny </t>
  </si>
  <si>
    <t>Leybi Orellano</t>
  </si>
  <si>
    <t xml:space="preserve">VEADA FURNITURE--MID </t>
  </si>
  <si>
    <t>Diana Sourevong/Traci Rader</t>
  </si>
  <si>
    <t>Ray Hernandez</t>
  </si>
  <si>
    <t>Destiny Smith/Tony Tu</t>
  </si>
  <si>
    <t xml:space="preserve">3031 TAGS </t>
  </si>
  <si>
    <t>Carlos Mata</t>
  </si>
  <si>
    <t>KITTING SPEAKERS/MISC</t>
  </si>
  <si>
    <t>Ken Thammavongsa</t>
  </si>
  <si>
    <t>Dennis Try</t>
  </si>
  <si>
    <t>Justin Staufenbeil</t>
  </si>
  <si>
    <t xml:space="preserve">MISC. </t>
  </si>
  <si>
    <t>Amberlee Baker</t>
  </si>
  <si>
    <t>Jeremy Barber</t>
  </si>
  <si>
    <t>Samara Ritchie</t>
  </si>
  <si>
    <t>COMPLETED CONSOLES</t>
  </si>
  <si>
    <t>Brandon McDonough</t>
  </si>
  <si>
    <t>Ronald McCullough II</t>
  </si>
  <si>
    <t>Cannon Smith</t>
  </si>
  <si>
    <t>MISC.</t>
  </si>
  <si>
    <t xml:space="preserve">Erika Perez Montiel </t>
  </si>
  <si>
    <t>Victor Ramirez</t>
  </si>
  <si>
    <t>Todd Jamison</t>
  </si>
  <si>
    <t>KIT PARTS AISLE</t>
  </si>
  <si>
    <t>Isaac Aguilar</t>
  </si>
  <si>
    <t>Julio Urbina</t>
  </si>
  <si>
    <t>Julia Grove</t>
  </si>
  <si>
    <t>Jose Indriago</t>
  </si>
  <si>
    <t>MARINE FASTENERS AREA</t>
  </si>
  <si>
    <t>Jefferson Granados</t>
  </si>
  <si>
    <t>Geraldo Reyes</t>
  </si>
  <si>
    <t>Seth Baldridge</t>
  </si>
  <si>
    <t>Sierra Sibley</t>
  </si>
  <si>
    <t xml:space="preserve">Mason Miller </t>
  </si>
  <si>
    <t xml:space="preserve">Jimmy Brown </t>
  </si>
  <si>
    <t>KITING MISC</t>
  </si>
  <si>
    <t>CARPET/LADDERS/PLYWOOD</t>
  </si>
  <si>
    <t>DOCK/OUTSIDE</t>
  </si>
  <si>
    <t>Serena Edwards</t>
  </si>
  <si>
    <t>Quincy Lehman</t>
  </si>
  <si>
    <t>SWINGBACK</t>
  </si>
  <si>
    <t>Tacoryrieo Edwards</t>
  </si>
  <si>
    <t>Kyle Mckay</t>
  </si>
  <si>
    <t>OUTSIDE EXTRUSION</t>
  </si>
  <si>
    <t>FORKLIFT</t>
  </si>
  <si>
    <t>Tyrese Miller/Chuck Coleman/Timothy Smith</t>
  </si>
  <si>
    <t xml:space="preserve">MAIN BUILDING BACKUP </t>
  </si>
  <si>
    <t>Zinyue Thammavongsa</t>
  </si>
  <si>
    <t>Jairo Gutierrez</t>
  </si>
  <si>
    <t>Jimmy Brown</t>
  </si>
  <si>
    <t>Angel Arellano</t>
  </si>
  <si>
    <t>Roland Chapa</t>
  </si>
  <si>
    <t>Jose Montiel</t>
  </si>
  <si>
    <t>Oumar Mahamoud</t>
  </si>
  <si>
    <t>Adam wambaugh</t>
  </si>
  <si>
    <t xml:space="preserve">Seth Baldrige </t>
  </si>
  <si>
    <r>
      <t>SOUTH BUILDING</t>
    </r>
    <r>
      <rPr>
        <b/>
        <sz val="16"/>
        <color rgb="FFFF0000"/>
        <rFont val="Arial"/>
        <family val="2"/>
      </rPr>
      <t xml:space="preserve"> 2800 MARINA DRIVE</t>
    </r>
  </si>
  <si>
    <t>OUTSIDE/ALL BIMINI AND ARCHES</t>
  </si>
  <si>
    <t>Owen Craig</t>
  </si>
  <si>
    <t>Calen Stoler</t>
  </si>
  <si>
    <t>FINAL RACK/TRANSHEILD</t>
  </si>
  <si>
    <t>Caleb Raes</t>
  </si>
  <si>
    <t>Khalil Goodsell</t>
  </si>
  <si>
    <t>Sothon Chea (Angel)</t>
  </si>
  <si>
    <t>POINT OF USE RACK BY ENGINE RIG</t>
  </si>
  <si>
    <t>Maribel Quinones</t>
  </si>
  <si>
    <t>Maria Padron</t>
  </si>
  <si>
    <t>Irais Miller</t>
  </si>
  <si>
    <t>Martin Rodriguez Robles</t>
  </si>
  <si>
    <t>Shamuel Canizalez Lugo</t>
  </si>
  <si>
    <t>SOUTHEAST CORNER RACKS</t>
  </si>
  <si>
    <t>Alejandra Marquez</t>
  </si>
  <si>
    <t>Noemy Garcia Gutierrez</t>
  </si>
  <si>
    <t>Emily Murphy</t>
  </si>
  <si>
    <t>Caleb Fizer</t>
  </si>
  <si>
    <t>Casey Bernaert</t>
  </si>
  <si>
    <t>John Hall</t>
  </si>
  <si>
    <t>Gustavo Barron</t>
  </si>
  <si>
    <t>Anthony Fizer</t>
  </si>
  <si>
    <t>Kaiden Foulk</t>
  </si>
  <si>
    <t>Breydan Weston</t>
  </si>
  <si>
    <t>Reese Morehead</t>
  </si>
  <si>
    <t>Abraham Moreno</t>
  </si>
  <si>
    <t>Rachel Fausnaugh</t>
  </si>
  <si>
    <t>Savanna RinMeak</t>
  </si>
  <si>
    <t>Rito Monreal</t>
  </si>
  <si>
    <t>Jake Grove</t>
  </si>
  <si>
    <t>Chase Murphy</t>
  </si>
  <si>
    <t>Jaden Ivory</t>
  </si>
  <si>
    <t>Heidi Wilbourn</t>
  </si>
  <si>
    <t>TJ Hall (PDC)</t>
  </si>
  <si>
    <t>AJ Garber</t>
  </si>
  <si>
    <t>CARPET/MATS</t>
  </si>
  <si>
    <t>Yovani Guzman</t>
  </si>
  <si>
    <t>Michael Granados</t>
  </si>
  <si>
    <t>Francisco Santiago</t>
  </si>
  <si>
    <t>Houston George</t>
  </si>
  <si>
    <t>Gary Grady</t>
  </si>
  <si>
    <t>Brian Wallace</t>
  </si>
  <si>
    <t>Ernalyn Gawne</t>
  </si>
  <si>
    <t xml:space="preserve">Allen Mitchell </t>
  </si>
  <si>
    <t>Somkieng Thammavongsa</t>
  </si>
  <si>
    <t>FIBERGLASS</t>
  </si>
  <si>
    <t xml:space="preserve">Anthony Suski (Rick) </t>
  </si>
  <si>
    <t>James Swihart</t>
  </si>
  <si>
    <t>Cory Clinton</t>
  </si>
  <si>
    <t>MISC. TAYLOR MADE WINDSHEILDS</t>
  </si>
  <si>
    <t>Charles Onyon</t>
  </si>
  <si>
    <t>Michael Dye</t>
  </si>
  <si>
    <t>MAIN HARNESSES</t>
  </si>
  <si>
    <t>Shania Stoller</t>
  </si>
  <si>
    <t>Brandon Turnbo</t>
  </si>
  <si>
    <t>Jaileen Bibian</t>
  </si>
  <si>
    <t>MARSON</t>
  </si>
  <si>
    <t>MISC. FURNITURE SUPPLIES</t>
  </si>
  <si>
    <t>Lois Skeels</t>
  </si>
  <si>
    <t>Kasandra Jackson</t>
  </si>
  <si>
    <t>Justin Klopsch</t>
  </si>
  <si>
    <t>FURNITURE</t>
  </si>
  <si>
    <t>Mason Crail</t>
  </si>
  <si>
    <t>Nick Cruz</t>
  </si>
  <si>
    <t>POINT OF USE</t>
  </si>
  <si>
    <t>Austin Chinn</t>
  </si>
  <si>
    <t>Dustin Drake</t>
  </si>
  <si>
    <t>Kayla Bowlby</t>
  </si>
  <si>
    <t>Lexie Kohler</t>
  </si>
  <si>
    <t>DECK TRIM/CROSS-MEMBERS</t>
  </si>
  <si>
    <t>Cornell Connor</t>
  </si>
  <si>
    <t xml:space="preserve">Tyler Hall </t>
  </si>
  <si>
    <t>Keith Krause</t>
  </si>
  <si>
    <t>Q FRAMES/RAILS/TUBS/DOCK/ARCHES</t>
  </si>
  <si>
    <t>Ardell Mahone/Gustavo Barron</t>
  </si>
  <si>
    <t>EXTRAS IF NOT RIGGING</t>
  </si>
  <si>
    <t>Jonathan Fasano</t>
  </si>
  <si>
    <t>Jefferson Grenados</t>
  </si>
  <si>
    <t>EXTRAS</t>
  </si>
  <si>
    <t>Vanhpoumy Phetsamone</t>
  </si>
  <si>
    <t>Carlos Avila</t>
  </si>
  <si>
    <t>Adrian Graber</t>
  </si>
  <si>
    <r>
      <t xml:space="preserve">415 BUILDING </t>
    </r>
    <r>
      <rPr>
        <b/>
        <sz val="16"/>
        <color rgb="FFFF0000"/>
        <rFont val="Arial"/>
        <family val="2"/>
      </rPr>
      <t>22406 COUNTY ROAD 4</t>
    </r>
  </si>
  <si>
    <t>LINE CONSOLE KITTING</t>
  </si>
  <si>
    <t>Stephanie Dunker (M)</t>
  </si>
  <si>
    <t>Brandi Peals (W)</t>
  </si>
  <si>
    <t>Bob Cummins (S)</t>
  </si>
  <si>
    <t>LINE KITTING MATERIAL (COLBIN)</t>
  </si>
  <si>
    <t>Rolando Gonzalez (M)</t>
  </si>
  <si>
    <t>Tristin Thorpe (N)</t>
  </si>
  <si>
    <t>LINE KITTING MATERIAL</t>
  </si>
  <si>
    <t>Kevin Toro (S)</t>
  </si>
  <si>
    <t>Jeff Edwards (N)</t>
  </si>
  <si>
    <t>Mike Dekker (M)</t>
  </si>
  <si>
    <t>Tim Stone (ENG)</t>
  </si>
  <si>
    <t xml:space="preserve">Jalen Jones </t>
  </si>
  <si>
    <t>LINE KITTING MATERIAL (IMP)</t>
  </si>
  <si>
    <t>Rossana Osorio Melendez (M)</t>
  </si>
  <si>
    <t>Carla Diaz (M)</t>
  </si>
  <si>
    <t>Kevin Hernandez (M)</t>
  </si>
  <si>
    <t>Diana Munoz (M)</t>
  </si>
  <si>
    <t>Marilin Uroza De Garcia (M)</t>
  </si>
  <si>
    <t>Brad Elam (W)</t>
  </si>
  <si>
    <t>Hendry Garcia (M)</t>
  </si>
  <si>
    <t>Nate Creed</t>
  </si>
  <si>
    <t>Nathaniel Wright (M)</t>
  </si>
  <si>
    <t>Abdal Al-Bsayrawi (M)</t>
  </si>
  <si>
    <t xml:space="preserve">Adrianna Jones (M) </t>
  </si>
  <si>
    <t>Total People at 415</t>
  </si>
  <si>
    <t>Brian Coffee (W)</t>
  </si>
  <si>
    <t>Erwin Reyes (W)</t>
  </si>
  <si>
    <t>Debora Blanco (COE)</t>
  </si>
  <si>
    <t>Christine Montalvo Colon (COE)</t>
  </si>
  <si>
    <t>John Van Scoyk (W)</t>
  </si>
  <si>
    <t>Maria Hernandez Melendez (W)</t>
  </si>
  <si>
    <t>Tom Tuttle</t>
  </si>
  <si>
    <t>Francisco Torres (W)</t>
  </si>
  <si>
    <t>Maurizio Avalos (M)</t>
  </si>
  <si>
    <t>Zach Klecker (S)</t>
  </si>
  <si>
    <t>Troy Kantz</t>
  </si>
  <si>
    <t>Brandon Dockins (M)</t>
  </si>
  <si>
    <t>Jessie Savangvongsavanh</t>
  </si>
  <si>
    <t>Philip Parker (COE)</t>
  </si>
  <si>
    <t>Juan Navarro (N)</t>
  </si>
  <si>
    <t>David Huisman (M)</t>
  </si>
  <si>
    <t>Paul Thorpe (N)</t>
  </si>
  <si>
    <t>Jhon Duran</t>
  </si>
  <si>
    <t>Lucila Juarez (N)</t>
  </si>
  <si>
    <t>Jose Cabeza (M)</t>
  </si>
  <si>
    <t>Ishmael Bermudez (M)</t>
  </si>
  <si>
    <t>James Quarles</t>
  </si>
  <si>
    <t>LaVeon Smith (S)</t>
  </si>
  <si>
    <t>Dustin Alwine (M)</t>
  </si>
  <si>
    <t>Marta Morales (COE)</t>
  </si>
  <si>
    <t>Rob Cowan (M)</t>
  </si>
  <si>
    <t>Dewayne Turnbo</t>
  </si>
  <si>
    <t>James Carpenter (M)</t>
  </si>
  <si>
    <t xml:space="preserve">CONSOLE KITTING MATERIAL </t>
  </si>
  <si>
    <t>Korey Carpenter (M)</t>
  </si>
  <si>
    <t>Allan Holliday (M)</t>
  </si>
  <si>
    <t>Rich Mcphee (S)</t>
  </si>
  <si>
    <t>Troy Weaver (M)</t>
  </si>
  <si>
    <t>Delvis Rivero (M)</t>
  </si>
  <si>
    <t>Trellus Washington (M)</t>
  </si>
  <si>
    <t>Zachary Thammavongsa (M)</t>
  </si>
  <si>
    <t>Joseph Braun (M)</t>
  </si>
  <si>
    <t>Cole Thompson (M)</t>
  </si>
  <si>
    <t>Aaron Pratt (M)</t>
  </si>
  <si>
    <t>Brian Rupp (ENG)</t>
  </si>
  <si>
    <t>Christopher Laws (M)</t>
  </si>
  <si>
    <t>Blake Calderon (M)</t>
  </si>
  <si>
    <t>Kennedy McCue (M)</t>
  </si>
  <si>
    <t>Marylou Sanchez (M)</t>
  </si>
  <si>
    <t>Adam Thompson (M)</t>
  </si>
  <si>
    <t>Jeff Petersen (M)</t>
  </si>
  <si>
    <t>Jesus Gonzalez</t>
  </si>
  <si>
    <t>Jeff Bell</t>
  </si>
  <si>
    <t>Elijah Burch (S)</t>
  </si>
  <si>
    <t>Tyler Hall (415 tyler)</t>
  </si>
  <si>
    <t>(Charon) Ronnie Hart (N)</t>
  </si>
  <si>
    <t>Daniel Flores (M)</t>
  </si>
  <si>
    <t>Daniel Alanis Caballero (M)</t>
  </si>
  <si>
    <t>Hector Haro</t>
  </si>
  <si>
    <t>Ashlee Villwok (M)</t>
  </si>
  <si>
    <t>William Chadwell</t>
  </si>
  <si>
    <t>Aaron McCollough (S)</t>
  </si>
  <si>
    <t xml:space="preserve">Jamie Granados </t>
  </si>
  <si>
    <t>Isaiah Kenney</t>
  </si>
  <si>
    <t>Darrik Wesely (M)</t>
  </si>
  <si>
    <t>MISC</t>
  </si>
  <si>
    <t>Alex Coker (M)</t>
  </si>
  <si>
    <t>Eric Brown (M)</t>
  </si>
  <si>
    <t>Rich Wegner (M)</t>
  </si>
  <si>
    <t>Barbara Woost</t>
  </si>
  <si>
    <t>Eugene Gordon (N)</t>
  </si>
  <si>
    <t>Craig Hall</t>
  </si>
  <si>
    <t>Maria Luna (M)</t>
  </si>
  <si>
    <t>Robert Bower (M)</t>
  </si>
  <si>
    <t>Angel Johannah (M)</t>
  </si>
  <si>
    <t>Craig Blume (ENG)</t>
  </si>
  <si>
    <t>Owen Fish (Shipping)</t>
  </si>
  <si>
    <t>Carlos Davila (S)</t>
  </si>
  <si>
    <t>Eileen Davis (ENG)</t>
  </si>
  <si>
    <t>Jacob Mullins (M)</t>
  </si>
  <si>
    <t>Pablo Cedeno (COE)</t>
  </si>
  <si>
    <t>Anthony Simeri (S)</t>
  </si>
  <si>
    <t>Kyle Barner (M)</t>
  </si>
  <si>
    <t>Tyler Murray (M)</t>
  </si>
  <si>
    <t>Lindsay Baker (M)</t>
  </si>
  <si>
    <t>Henry Gawne Jr. (M)</t>
  </si>
  <si>
    <t>Jose Diaz (M)</t>
  </si>
  <si>
    <t>Anthony Tirado (S)</t>
  </si>
  <si>
    <t>Juan Puga (W)</t>
  </si>
  <si>
    <t>Justin Pontius (S)</t>
  </si>
  <si>
    <t>METAL FAB</t>
  </si>
  <si>
    <t xml:space="preserve">Quincie Owens (N) </t>
  </si>
  <si>
    <t>Joe Miller</t>
  </si>
  <si>
    <t>Craig Smith (ENG)</t>
  </si>
  <si>
    <t>Jesus Mosquera (N)</t>
  </si>
  <si>
    <t>Henry Royal (M)</t>
  </si>
  <si>
    <t>Mark Smith (S)</t>
  </si>
  <si>
    <t>Bryan Valadez</t>
  </si>
  <si>
    <t>Fedrico Torres (W)</t>
  </si>
  <si>
    <t xml:space="preserve">Victor Garcia </t>
  </si>
  <si>
    <t>Victor Garcia</t>
  </si>
  <si>
    <t>Dienieth Sanchez De Bermudez (N)</t>
  </si>
  <si>
    <t>Edward Coates (N)</t>
  </si>
  <si>
    <t>David Kittimasak (N)</t>
  </si>
  <si>
    <t>Mark Pozzi (N)</t>
  </si>
  <si>
    <t>William Perach</t>
  </si>
  <si>
    <t>Nick Sceggell (S)</t>
  </si>
  <si>
    <t>Jeremy Smith</t>
  </si>
  <si>
    <t>Jose Rondon-Lopes (M)</t>
  </si>
  <si>
    <t>LADDERS</t>
  </si>
  <si>
    <t>Antwan Thompson (M)</t>
  </si>
  <si>
    <t>Haidenin Salas Boscan (N)</t>
  </si>
  <si>
    <t>Curtis Nelson (M)</t>
  </si>
  <si>
    <t>Agustin Martinez</t>
  </si>
  <si>
    <t>Oumar Mahamoud (M)</t>
  </si>
  <si>
    <t>RAW CONSOLES</t>
  </si>
  <si>
    <t>Jesse May (S)</t>
  </si>
  <si>
    <t>Dave Arisman</t>
  </si>
  <si>
    <t>Jeff Inman</t>
  </si>
  <si>
    <t>Logan Fish</t>
  </si>
  <si>
    <t>SKI TOW/MISC.</t>
  </si>
  <si>
    <t>Jose Tirado Ochoa</t>
  </si>
  <si>
    <t>Micah Johnson Sr</t>
  </si>
  <si>
    <t>Jake Scholfield</t>
  </si>
  <si>
    <t>DOCK/CARPET/WOOD/MISC</t>
  </si>
  <si>
    <t>ENGINES</t>
  </si>
  <si>
    <t> </t>
  </si>
  <si>
    <t>CONSOLE KITTING</t>
  </si>
  <si>
    <t>Dolores Edwards</t>
  </si>
  <si>
    <t>Lori Arisman</t>
  </si>
  <si>
    <t>GAUGE PANELS</t>
  </si>
  <si>
    <t>Mallory Lafayette</t>
  </si>
  <si>
    <t>Yoeun Poeun</t>
  </si>
  <si>
    <t>Emily Mitchell</t>
  </si>
  <si>
    <t xml:space="preserve">CONSOLE KITTING </t>
  </si>
  <si>
    <t>Adrian Xolio (COE)</t>
  </si>
  <si>
    <t>Enrique Flores (M)</t>
  </si>
  <si>
    <t>Kelly Slone (M)</t>
  </si>
  <si>
    <t>Orianna Zambrano</t>
  </si>
  <si>
    <t>Felicia Culp + Zach Corpuz</t>
  </si>
  <si>
    <t>Tabitha Good</t>
  </si>
  <si>
    <t xml:space="preserve">FINAL KITS </t>
  </si>
  <si>
    <t>Jim Brown</t>
  </si>
  <si>
    <t xml:space="preserve">RED KITS </t>
  </si>
  <si>
    <t>Michelle Anzalduw</t>
  </si>
  <si>
    <t>Jerry Crist</t>
  </si>
  <si>
    <t>SKI TOW &amp; LIGHTS</t>
  </si>
  <si>
    <t>Russel Milanese</t>
  </si>
  <si>
    <t>Bounthavy Thammavongsa</t>
  </si>
  <si>
    <t>Eleesha  Miller</t>
  </si>
  <si>
    <t>SUB ASSEMBLY</t>
  </si>
  <si>
    <t>GREEN KITS</t>
  </si>
  <si>
    <t>Eleesha Miller</t>
  </si>
  <si>
    <t>Felix Maldonado</t>
  </si>
  <si>
    <t>Brandon Boriboune (COE)</t>
  </si>
  <si>
    <t xml:space="preserve">Ray Gonet </t>
  </si>
  <si>
    <t>415 EXTRA</t>
  </si>
  <si>
    <t>Helaina Bowlby (M)</t>
  </si>
  <si>
    <t>Monica Gallegos (N)</t>
  </si>
  <si>
    <t>Dan Frederick</t>
  </si>
  <si>
    <t>Jose Ortiz Rosario,Dillion Gill, Jeff Shultz</t>
  </si>
  <si>
    <t>RAW CONSOLES / COE OFFSITE</t>
  </si>
  <si>
    <t>Chris VanDeventer</t>
  </si>
  <si>
    <t>Heather Kantz</t>
  </si>
  <si>
    <t>AFTERMARKET (415)</t>
  </si>
  <si>
    <t>AFTERMARKET PARTS</t>
  </si>
  <si>
    <t>Vanessa Rodriguez Timaure</t>
  </si>
  <si>
    <t>Yris Montiel</t>
  </si>
  <si>
    <t>Devin Wallace</t>
  </si>
  <si>
    <t>Tim Byers</t>
  </si>
  <si>
    <t>Joshua Valadez</t>
  </si>
  <si>
    <t>Owen Bryers</t>
  </si>
  <si>
    <t>Cristofer DoSantes</t>
  </si>
  <si>
    <t>Collin VanDeventer</t>
  </si>
  <si>
    <t>Tess Reschke</t>
  </si>
  <si>
    <t>Aneska Sanchez</t>
  </si>
  <si>
    <t>Brandi Vowell</t>
  </si>
  <si>
    <t>Anthony Black (Shipping)</t>
  </si>
  <si>
    <t>Collin Lantz</t>
  </si>
  <si>
    <t>Alondra Bello De La Rosa</t>
  </si>
  <si>
    <t>Brianna Mendoza (M)</t>
  </si>
  <si>
    <t>Albania Casanova Moreno</t>
  </si>
  <si>
    <t>SHIPPING BUILDING</t>
  </si>
  <si>
    <t>FINISHED GOODS</t>
  </si>
  <si>
    <t xml:space="preserve">Daniel Degraff </t>
  </si>
  <si>
    <t xml:space="preserve">Zach Glass </t>
  </si>
  <si>
    <t xml:space="preserve">Blain Trosper </t>
  </si>
  <si>
    <t>OTHER LOCATIONS</t>
  </si>
  <si>
    <t>OFF PREMISE INVENTORY</t>
  </si>
  <si>
    <t>John Buwalda</t>
  </si>
  <si>
    <t>Lauren Burnham</t>
  </si>
  <si>
    <t>WIP BOATS</t>
  </si>
  <si>
    <t>Zach Hibshman</t>
  </si>
  <si>
    <t>Nicholas Young</t>
  </si>
  <si>
    <t>Josh Werntz</t>
  </si>
  <si>
    <t>Jadon Hainey</t>
  </si>
  <si>
    <t>Josh Holdeman</t>
  </si>
  <si>
    <t>Jessica Allard</t>
  </si>
  <si>
    <t>Jacob Lewis</t>
  </si>
  <si>
    <t xml:space="preserve">Jacob Lutton </t>
  </si>
  <si>
    <t>Tabitha Noland</t>
  </si>
  <si>
    <t>INSIDE NORTH / WIP TUBES</t>
  </si>
  <si>
    <t>Lindy Lehman</t>
  </si>
  <si>
    <t>Angie Handlin</t>
  </si>
  <si>
    <t>CLEARING AUDITORS</t>
  </si>
  <si>
    <t>CLEARING CONTACT</t>
  </si>
  <si>
    <t>PART INFO CONTACT</t>
  </si>
  <si>
    <t>MAIN REPORTING</t>
  </si>
  <si>
    <t>Want to create a second team to print reports for/from 415 for 415/Aftermarket Only</t>
  </si>
  <si>
    <t>ERIG EGERT - NORTH PRIMARY</t>
  </si>
  <si>
    <t>TEAMS MESSAGE OR CALL BROOKE FEDDER</t>
  </si>
  <si>
    <t>NORTH - Eric Egert</t>
  </si>
  <si>
    <t>OPS CONF. ROOM - ALL REPORTS SIGNED AT MAIN</t>
  </si>
  <si>
    <t>JORDAN KENNEY - NORTH PRIMARY</t>
  </si>
  <si>
    <t>574-747-9488</t>
  </si>
  <si>
    <t>MAIN - Dan Frederick</t>
  </si>
  <si>
    <t>BRAD TROSPER - MAIN PRIMARY</t>
  </si>
  <si>
    <t>SOUTH - Jaileen Bibian</t>
  </si>
  <si>
    <t>Jessica Friesner</t>
  </si>
  <si>
    <t>KATHERINE WIEGAND - MAIN PRIMARY</t>
  </si>
  <si>
    <t>WEST - Len Fish/Mike Damore</t>
  </si>
  <si>
    <t>Deren Hartsough</t>
  </si>
  <si>
    <t>DAN FREDERICK/IAN SMITH  - FLOATING North/Main</t>
  </si>
  <si>
    <t>TEAM MISSING / ABSENT / DISMISSAL</t>
  </si>
  <si>
    <t>SHIPPING - BLAIN TROPSTER</t>
  </si>
  <si>
    <t>NO REPORTS AT 415</t>
  </si>
  <si>
    <t>ADRIAN GRABER - SOUTH PRIMARY</t>
  </si>
  <si>
    <t xml:space="preserve">CALL KEENAN BURCH </t>
  </si>
  <si>
    <t>415 - Emily Mitchell / Bart Arbaugh</t>
  </si>
  <si>
    <t>MACLEAN POTTS - SOUTH PRIMARY</t>
  </si>
  <si>
    <t>574-747-9476</t>
  </si>
  <si>
    <t>TODD MEIER - SOUTH PRIMARY</t>
  </si>
  <si>
    <t>LEN FISH/MIKE DAMORE - WEST PRIMARY</t>
  </si>
  <si>
    <t>BEVERLY MILLER TO ASST KEENAN</t>
  </si>
  <si>
    <t>BEN WINKLES - 415 PRIMARY</t>
  </si>
  <si>
    <t>NICK WAECH - 415 PRIMARY</t>
  </si>
  <si>
    <t>STACIE ARSENAULT - 415</t>
  </si>
  <si>
    <t xml:space="preserve">CHRIS MILLER - 415 </t>
  </si>
  <si>
    <t>HEATHER KANTZ - COE PLANT 2</t>
  </si>
  <si>
    <t>Jose Alvarez</t>
  </si>
  <si>
    <t>HEATHER KANTZ</t>
  </si>
  <si>
    <t>Tag Handout</t>
  </si>
  <si>
    <t>Keyers</t>
  </si>
  <si>
    <t>Tag Keying Audit</t>
  </si>
  <si>
    <t>ERRORS</t>
  </si>
  <si>
    <t>Brooke Fedder - Main Building</t>
  </si>
  <si>
    <t>South</t>
  </si>
  <si>
    <t>Mandalynn Tardi - North Building</t>
  </si>
  <si>
    <t>Natalie Griggs</t>
  </si>
  <si>
    <t>Blake Schaeffer</t>
  </si>
  <si>
    <t>Angie Handlin / Jen Strukel - South</t>
  </si>
  <si>
    <t>Kristin Copp- South Building</t>
  </si>
  <si>
    <t>Samantha Peacock</t>
  </si>
  <si>
    <t>Wendi Replogle</t>
  </si>
  <si>
    <t>Karen Hamell / Brittany Jurek - 415</t>
  </si>
  <si>
    <t>John / Warren</t>
  </si>
  <si>
    <t>Erika Cross - Key and or audit whichever is needed?</t>
  </si>
  <si>
    <t>Erika Cross</t>
  </si>
  <si>
    <t>Elizabeth Bergman / Nicole McCraner - 415</t>
  </si>
  <si>
    <t>Delanie Ramos (1/2 Day)</t>
  </si>
  <si>
    <t>Ed Short</t>
  </si>
  <si>
    <t xml:space="preserve">Kaitlyn Crawford </t>
  </si>
  <si>
    <t>John Reinhart</t>
  </si>
  <si>
    <t>Furniture &amp; SPECS IT Help</t>
  </si>
  <si>
    <t>Daniel Gutierrez</t>
  </si>
  <si>
    <t>Joe Carter</t>
  </si>
  <si>
    <t>Floating / Help</t>
  </si>
  <si>
    <t>Jeanna Russell</t>
  </si>
  <si>
    <t>Megan Moore</t>
  </si>
  <si>
    <t>Scottie Clark</t>
  </si>
  <si>
    <t>Jake Gherardi</t>
  </si>
  <si>
    <t>Travis Kramer</t>
  </si>
  <si>
    <t>Patty Clark</t>
  </si>
  <si>
    <t>Extra Tag Help</t>
  </si>
  <si>
    <t>Brenda Bloomer</t>
  </si>
  <si>
    <t>Mike Cook</t>
  </si>
  <si>
    <t>Runner</t>
  </si>
  <si>
    <t>Branda Fleischauer</t>
  </si>
  <si>
    <t>West</t>
  </si>
  <si>
    <t>John Reinhardt</t>
  </si>
  <si>
    <t>Warren Fessenden (415 after)</t>
  </si>
  <si>
    <t>Area Desc</t>
  </si>
  <si>
    <t>Area</t>
  </si>
  <si>
    <t>Building</t>
  </si>
  <si>
    <t>SQL Fragment: UPDATE SET Auditor</t>
  </si>
  <si>
    <t>Quote (open)</t>
  </si>
  <si>
    <t>Auditor Ref</t>
  </si>
  <si>
    <t>Quote (close)</t>
  </si>
  <si>
    <t>SQL: ,Building=</t>
  </si>
  <si>
    <t>Building Ref</t>
  </si>
  <si>
    <t>SQL: ,Writer=</t>
  </si>
  <si>
    <t>Writer Ref</t>
  </si>
  <si>
    <t>SQL: ,AreaDesc=</t>
  </si>
  <si>
    <t>AreaDesc Ref</t>
  </si>
  <si>
    <t>SQL: where</t>
  </si>
  <si>
    <t>Area Ref</t>
  </si>
  <si>
    <t>Full SQL Statement</t>
  </si>
  <si>
    <t>SQL Backup (Values)</t>
  </si>
  <si>
    <t>North Building</t>
  </si>
  <si>
    <t xml:space="preserve">update [dbo].[Inventory] Set [Auditor]  = </t>
  </si>
  <si>
    <t xml:space="preserve">,[Building]  = </t>
  </si>
  <si>
    <t xml:space="preserve">,[Writer] = </t>
  </si>
  <si>
    <t xml:space="preserve">,[AreaDesc] = </t>
  </si>
  <si>
    <t xml:space="preserve"> where [Area]=</t>
  </si>
  <si>
    <t>update [dbo].[Inventory] Set [Auditor]  = 'Tori Allard',[Building]  = 'North Building',[Writer] = 'James Powers',[AreaDesc] = 'FRAMING - XMEM' where [Area]=1001</t>
  </si>
  <si>
    <t>update [dbo].[Inventory] Set [Auditor]  = 'Joseph Clair',[Building]  = 'North Building',[Writer] = 'Lucas Hoover',[AreaDesc] = 'FRAMING - PARTS &amp; OUTSIDE' where [Area]=1002</t>
  </si>
  <si>
    <t>update [dbo].[Inventory] Set [Auditor]  = 'Trever Schneider',[Building]  = 'North Building',[Writer] = 'Jeremy Parrott',[AreaDesc] = 'MOTOR PANS' where [Area]=1003</t>
  </si>
  <si>
    <t>update [dbo].[Inventory] Set [Auditor]  = 'David Brunner',[Building]  = 'North Building',[Writer] = 'Chase Sulok',[AreaDesc] = 'CROSS MEMBERS - TRANSOMS' where [Area]=1004</t>
  </si>
  <si>
    <t>update [dbo].[Inventory] Set [Auditor]  = 'Trever Schneider',[Building]  = 'North Building',[Writer] = 'Ryan Ayers',[AreaDesc] = 'BOWRIDER &amp; FRT XMEM' where [Area]=1006</t>
  </si>
  <si>
    <t>update [dbo].[Inventory] Set [Auditor]  = 'Jessica Staley',[Building]  = 'North Building',[Writer] = 'Jesse Weddell',[AreaDesc] = 'BOWRIDER SMALL PARTS' where [Area]=1007</t>
  </si>
  <si>
    <t>update [dbo].[Inventory] Set [Auditor]  = 'Joseph Clair',[Building]  = 'North Building',[Writer] = 'Jeff Riggs',[AreaDesc] = 'SMALL PARTS &amp; CHINES &amp; FOILS' where [Area]=1008</t>
  </si>
  <si>
    <t>update [dbo].[Inventory] Set [Auditor]  = 'Brandon Jones',[Building]  = 'North Building',[Writer] = 'John Anderson',[AreaDesc] = 'SAW &amp; CHINE' where [Area]=1009</t>
  </si>
  <si>
    <t>update [dbo].[Inventory] Set [Auditor]  = 'Brandon Jones',[Building]  = 'North Building',[Writer] = 'Sergio Arellano Jr',[AreaDesc] = 'FAB (NORTH) BREAK PRESS &amp; RACKS' where [Area]=1010</t>
  </si>
  <si>
    <t>update [dbo].[Inventory] Set [Auditor]  = 'GeriLynn Olson',[Building]  = 'North Building',[Writer] = 'Rigoberto Garcia Torres',[AreaDesc] = 'FAB (NORTH) FLAT STOCK' where [Area]=1011</t>
  </si>
  <si>
    <t xml:space="preserve">John Azuladua </t>
  </si>
  <si>
    <t>update [dbo].[Inventory] Set [Auditor]  = 'Jordan Kenney',[Building]  = 'North Building',[Writer] = 'John Azuladua',[AreaDesc] = 'CHINE MATERIAL' where [Area]=1012</t>
  </si>
  <si>
    <t>update [dbo].[Inventory] Set [Auditor]  = 'Jordan Kenney',[Building]  = 'North Building',[Writer] = 'Steven Christopher Jr.',[AreaDesc] = 'FOIL STATIONS &amp; BRKTS' where [Area]=1013</t>
  </si>
  <si>
    <t xml:space="preserve">Cristian Murillo </t>
  </si>
  <si>
    <t>update [dbo].[Inventory] Set [Auditor]  = 'Brandon Jones',[Building]  = 'North Building',[Writer] = 'Cristian Murillo',[AreaDesc] = 'AIR CHECK' where [Area]=1014</t>
  </si>
  <si>
    <t>update [dbo].[Inventory] Set [Auditor]  = 'David Brunner',[Building]  = 'North Building',[Writer] = 'Cody Gouker',[AreaDesc] = 'OUTSIDE - PANELS' where [Area]=1015</t>
  </si>
  <si>
    <t>update [dbo].[Inventory] Set [Auditor]  = 'David Brunner',[Building]  = 'North Building',[Writer] = 'Avaughn Jamison',[AreaDesc] = 'ROUND SEAM - BRACKETS' where [Area]=1016</t>
  </si>
  <si>
    <t>update [dbo].[Inventory] Set [Auditor]  = 'Tori Allard',[Building]  = 'North Building',[Writer] = 'Kathryn Palmer',[AreaDesc] = 'NOSE STOCK' where [Area]=1017</t>
  </si>
  <si>
    <t>update [dbo].[Inventory] Set [Auditor]  = 'Ian Smith',[Building]  = 'North Building',[Writer] = 'Jaidon Hainey',[AreaDesc] = 'NEW BLDG, ENGINEERING' where [Area]=1018</t>
  </si>
  <si>
    <t>update [dbo].[Inventory] Set [Auditor]  = 'Norma Reynolds',[Building]  = 'North Building',[Writer] = 'Brendon Walkling',[AreaDesc] = 'NOSE CONES' where [Area]=1019</t>
  </si>
  <si>
    <t>update [dbo].[Inventory] Set [Auditor]  = 'Trever Schneider',[Building]  = 'North Building',[Writer] = 'Nickolas Olson',[AreaDesc] = 'BAFFLES &amp; SEAMERS' where [Area]=1020</t>
  </si>
  <si>
    <t>update [dbo].[Inventory] Set [Auditor]  = 'Andrew Brown',[Building]  = 'North Building',[Writer] = 'Enrique Hernandez',[AreaDesc] = 'FAB (WEST) RACKS &amp; WAVE TAME' where [Area]=1021</t>
  </si>
  <si>
    <t>update [dbo].[Inventory] Set [Auditor]  = 'Andrew Brown',[Building]  = 'North Building',[Writer] = 'Michael Smith',[AreaDesc] = 'FAB (WEST) FLAT STOCK' where [Area]=1022</t>
  </si>
  <si>
    <t>update [dbo].[Inventory] Set [Auditor]  = 'Jessica Staley',[Building]  = 'North Building',[Writer] = 'Sergio Arellano',[AreaDesc] = 'FAB/BRKT RACKING' where [Area]=1023</t>
  </si>
  <si>
    <t>update [dbo].[Inventory] Set [Auditor]  = 'GeriLynn Olson',[Building]  = 'North Building',[Writer] = 'Steven Smith',[AreaDesc] = 'CROSS MEMBER ASSY/TRANSOMS' where [Area]=1024</t>
  </si>
  <si>
    <t>update [dbo].[Inventory] Set [Auditor]  = 'Eric Egert',[Building]  = 'North Building',[Writer] = 'Frank Stinnett',[AreaDesc] = 'AFT DECKS' where [Area]=1025</t>
  </si>
  <si>
    <t>update [dbo].[Inventory] Set [Auditor]  = 'Jessica Staley',[Building]  = 'North Building',[Writer] = 'Jose Garcia',[AreaDesc] = 'OUTSIDE - EAST CROSS MEMBERS' where [Area]=1026</t>
  </si>
  <si>
    <t>update [dbo].[Inventory] Set [Auditor]  = 'Jordan Kenney',[Building]  = 'North Building',[Writer] = 'Roberto Gonzalez',[AreaDesc] = 'TANKS &amp; OUTSIDE EAST GAS TANKS' where [Area]=1027</t>
  </si>
  <si>
    <t>update [dbo].[Inventory] Set [Auditor]  = 'Norma Reynolds',[Building]  = 'North Building',[Writer] = 'Ron Kauffman',[AreaDesc] = 'FRAMING - OUTSIDE' where [Area]=1028</t>
  </si>
  <si>
    <t>update [dbo].[Inventory] Set [Auditor]  = 'Eric Egert',[Building]  = 'North Building',[Writer] = 'Anna Martorano',[AreaDesc] = 'INSIDE WELD TEST I/O AREA' where [Area]=1029</t>
  </si>
  <si>
    <t>update [dbo].[Inventory] Set [Auditor]  = 'Joseph Clair',[Building]  = 'North Building',[Writer] = 'Chris Wrobel',[AreaDesc] = 'TRANSOM INVENTORY' where [Area]=1030</t>
  </si>
  <si>
    <t>update [dbo].[Inventory] Set [Auditor]  = 'Eric Egert',[Building]  = 'North Building',[Writer] = 'Chance Lindsay',[AreaDesc] = 'WEST HALF OF OUTSIDE AREA #1015 (SPLIT IN HALF)' where [Area]=1031</t>
  </si>
  <si>
    <t>West Building</t>
  </si>
  <si>
    <t>update [dbo].[Inventory] Set [Auditor]  = 'Alvaro Scherer',[Building]  = 'West Building',[Writer] = 'Samantha Scott',[AreaDesc] = 'RAILS' where [Area]=2001</t>
  </si>
  <si>
    <t>update [dbo].[Inventory] Set [Auditor]  = 'D''Amore, Michael',[Building]  = 'West Building',[Writer] = 'Lindsie Sidenbender',[AreaDesc] = 'RAILS' where [Area]=2002</t>
  </si>
  <si>
    <t>update [dbo].[Inventory] Set [Auditor]  = 'Bradley Greene',[Building]  = 'West Building',[Writer] = 'Jordan Lane',[AreaDesc] = 'RAILS' where [Area]=2003</t>
  </si>
  <si>
    <t>update [dbo].[Inventory] Set [Auditor]  = 'Kara Burch',[Building]  = 'West Building',[Writer] = 'Christine Fausnaugh',[AreaDesc] = 'RAILS' where [Area]=2004</t>
  </si>
  <si>
    <t>update [dbo].[Inventory] Set [Auditor]  = 'D''Amore, Michael',[Building]  = 'West Building',[Writer] = 'Jason Schumacher',[AreaDesc] = 'RAILS' where [Area]=2005</t>
  </si>
  <si>
    <t>update [dbo].[Inventory] Set [Auditor]  = 'Kenny Bennett',[Building]  = 'West Building',[Writer] = 'Hector Jacobo',[AreaDesc] = 'RAILS' where [Area]=2006</t>
  </si>
  <si>
    <t>update [dbo].[Inventory] Set [Auditor]  = 'Kenny Bennett',[Building]  = 'West Building',[Writer] = 'Damon Harris',[AreaDesc] = 'RAILS' where [Area]=2007</t>
  </si>
  <si>
    <t>update [dbo].[Inventory] Set [Auditor]  = 'Stuart Marshall',[Building]  = 'West Building',[Writer] = 'Jade Young',[AreaDesc] = 'RAILS' where [Area]=2008</t>
  </si>
  <si>
    <t>update [dbo].[Inventory] Set [Auditor]  = 'Stuart Marshall',[Building]  = 'West Building',[Writer] = 'Ronald Summers',[AreaDesc] = 'RAILS' where [Area]=2009</t>
  </si>
  <si>
    <t>update [dbo].[Inventory] Set [Auditor]  = 'Bradley Greene',[Building]  = 'West Building',[Writer] = 'Matthew Harrington',[AreaDesc] = 'RAILS' where [Area]=2013</t>
  </si>
  <si>
    <t>update [dbo].[Inventory] Set [Auditor]  = 'Kara Burch',[Building]  = 'West Building',[Writer] = 'Mike Allred',[AreaDesc] = 'RAILS' where [Area]=2014</t>
  </si>
  <si>
    <t>update [dbo].[Inventory] Set [Auditor]  = 'Alvaro sScherer',[Building]  = 'West Building',[Writer] = 'Randy Gilbert',[AreaDesc] = 'RAILS' where [Area]=2015</t>
  </si>
  <si>
    <t>Main Building</t>
  </si>
  <si>
    <t>update [dbo].[Inventory] Set [Auditor]  = 'Adam Wambaugh',[Building]  = 'Main Building',[Writer] = 'Spencer Mazure',[AreaDesc] = 'OUTSIDE - FLOOR DEPT' where [Area]=3001</t>
  </si>
  <si>
    <t>update [dbo].[Inventory] Set [Auditor]  = 'Adam Wambaugh',[Building]  = 'Main Building',[Writer] = 'Dylan Thompson',[AreaDesc] = 'FLOORS/TRIM' where [Area]=3003</t>
  </si>
  <si>
    <t>update [dbo].[Inventory] Set [Auditor]  = 'Mairo Hernandez',[Building]  = 'Main Building',[Writer] = 'Leandro Morillo',[AreaDesc] = 'GATES' where [Area]=3005</t>
  </si>
  <si>
    <t>update [dbo].[Inventory] Set [Auditor]  = 'William Reynolds',[Building]  = 'Main Building',[Writer] = 'Justin Schumacher',[AreaDesc] = 'STEERING CABLES' where [Area]=3006</t>
  </si>
  <si>
    <t>update [dbo].[Inventory] Set [Auditor]  = 'Eliseo Perez Montiel',[Building]  = 'Main Building',[Writer] = 'Carlos Gonzalez',[AreaDesc] = 'PANEL FINISHING II' where [Area]=3008</t>
  </si>
  <si>
    <t>update [dbo].[Inventory] Set [Auditor]  = 'Eliseo Perez Montiel',[Building]  = 'Main Building',[Writer] = 'Darwin Villasmil',[AreaDesc] = 'PANEL FINISHING I' where [Area]=3009</t>
  </si>
  <si>
    <t>update [dbo].[Inventory] Set [Auditor]  = 'Connor Treadway',[Building]  = 'Main Building',[Writer] = 'Gabriel Reyes + Connor Treadway (Support)',[AreaDesc] = 'BIMINI FRAMES OUTSIDE ( STATIONARY)' where [Area]=3020</t>
  </si>
  <si>
    <t>update [dbo].[Inventory] Set [Auditor]  = 'Connor Treadway',[Building]  = 'Main Building',[Writer] = 'Enrique Hernandez + Connor Treadway (Support)',[AreaDesc] = 'BIMINI TOPS / BIMINI FRAMES' where [Area]=3010</t>
  </si>
  <si>
    <t>update [dbo].[Inventory] Set [Auditor]  = 'Jose Montiel',[Building]  = 'Main Building',[Writer] = 'Brennan Condy',[AreaDesc] = 'PANEL STOCK' where [Area]=3013</t>
  </si>
  <si>
    <t>update [dbo].[Inventory] Set [Auditor]  = 'Da-Vontae Suggs',[Building]  = 'Main Building',[Writer] = 'Dervin Reyes',[AreaDesc] = 'PANEL INSTALL' where [Area]=3014</t>
  </si>
  <si>
    <t>update [dbo].[Inventory] Set [Auditor]  = 'Da-Vontae Suggs',[Building]  = 'Main Building',[Writer] = 'Stephanie Pixley',[AreaDesc] = 'PANEL STOCK' where [Area]=3015</t>
  </si>
  <si>
    <t>update [dbo].[Inventory] Set [Auditor]  = 'Mairo Hernandez',[Building]  = 'Main Building',[Writer] = 'Jilmer Dos Santos',[AreaDesc] = 'GATES' where [Area]=3016</t>
  </si>
  <si>
    <t>update [dbo].[Inventory] Set [Auditor]  = 'Khanethong Sourivong (Tiger)',[Building]  = 'Main Building',[Writer] = 'Brandon Lopez',[AreaDesc] = 'RAILS INSIDE/OUTSIDE' where [Area]=3017</t>
  </si>
  <si>
    <t>update [dbo].[Inventory] Set [Auditor]  = 'Billy Humphreys',[Building]  = 'Main Building',[Writer] = 'Josh Bowering',[AreaDesc] = 'WAVE TAMER' where [Area]=3018</t>
  </si>
  <si>
    <t>update [dbo].[Inventory] Set [Auditor]  = 'Billy Humphreys',[Building]  = 'Main Building',[Writer] = 'Josh Bowering',[AreaDesc] = 'SHARKHIDE' where [Area]=3019</t>
  </si>
  <si>
    <t>update [dbo].[Inventory] Set [Auditor]  = 'Tony Tu',[Building]  = 'Main Building',[Writer] = 'Destiny Smith',[AreaDesc] = 'VEADA FURNITURE--BACK WAREHOUSE' where [Area]=3024</t>
  </si>
  <si>
    <t>update [dbo].[Inventory] Set [Auditor]  = 'Vanida Inthivong',[Building]  = 'Main Building',[Writer] = 'Bradley Waelbroeck',[AreaDesc] = 'VEADA FURNITURE--BACK WAREHOUSE' where [Area]=3032</t>
  </si>
  <si>
    <t>update [dbo].[Inventory] Set [Auditor]  = 'Rob Hapner',[Building]  = 'Main Building',[Writer] = 'Bradley Waelbroeck',[AreaDesc] = 'FIBERGLASS SWINGBACK' where [Area]=3025</t>
  </si>
  <si>
    <t>update [dbo].[Inventory] Set [Auditor]  = 'Chuck Coleman',[Building]  = 'Main Building',[Writer] = 'Joyce Wysong',[AreaDesc] = 'WAREHOUSE' where [Area]=3026</t>
  </si>
  <si>
    <t>update [dbo].[Inventory] Set [Auditor]  = 'Tony Tu',[Building]  = 'Main Building',[Writer] = 'Vanida Unthivong',[AreaDesc] = 'PRIVACY' where [Area]=3027</t>
  </si>
  <si>
    <t>update [dbo].[Inventory] Set [Auditor]  = 'Christal Trosper',[Building]  = 'Main Building',[Writer] = 'Cameron Kantz',[AreaDesc] = 'FINAL/KITS' where [Area]=3028</t>
  </si>
  <si>
    <t>update [dbo].[Inventory] Set [Auditor]  = 'Leybi Orellano',[Building]  = 'Main Building',[Writer] = 'Vanida Inthivong',[AreaDesc] = 'RECLINERS' where [Area]=3029</t>
  </si>
  <si>
    <t>update [dbo].[Inventory] Set [Auditor]  = 'Destiny Smith/Tony Tu',[Building]  = 'Main Building',[Writer] = 'Diana Sourevong/Traci Rader',[AreaDesc] = 'VEADA FURNITURE--MID' where [Area]=3031</t>
  </si>
  <si>
    <t>update [dbo].[Inventory] Set [Auditor]  = 'Leybi Orellano',[Building]  = 'Main Building',[Writer] = 'Ray Hernandez',[AreaDesc] = 'VEADA FURNITURE--MID' where [Area]='3031 TAGS'</t>
  </si>
  <si>
    <t>update [dbo].[Inventory] Set [Auditor]  = 'Justin Staufenbeil',[Building]  = 'Main Building',[Writer] = 'Ken Thammavongsa',[AreaDesc] = 'KITTING SPEAKERS/MISC' where [Area]=3035</t>
  </si>
  <si>
    <t>update [dbo].[Inventory] Set [Auditor]  = 'Samara Ritchie',[Building]  = 'Main Building',[Writer] = 'Amberlee Baker',[AreaDesc] = 'MISC.' where [Area]=3036</t>
  </si>
  <si>
    <t>update [dbo].[Inventory] Set [Auditor]  = 'Todd Jamison',[Building]  = 'Main Building',[Writer] = 'Erika Perez Montiel',[AreaDesc] = 'MISC.' where [Area]=3037</t>
  </si>
  <si>
    <t>update [dbo].[Inventory] Set [Auditor]  = 'Julia Grove',[Building]  = 'Main Building',[Writer] = 'Isaac Aguilar',[AreaDesc] = 'KIT PARTS AISLE' where [Area]=3038</t>
  </si>
  <si>
    <t>update [dbo].[Inventory] Set [Auditor]  = 'Julia Grove',[Building]  = 'Main Building',[Writer] = 'Isaac Aguilar',[AreaDesc] = 'KIT PARTS AISLE' where [Area]=3039</t>
  </si>
  <si>
    <t>update [dbo].[Inventory] Set [Auditor]  = 'Seth Baldridge',[Building]  = 'Main Building',[Writer] = 'Jefferson Granados',[AreaDesc] = 'MARINE FASTENERS AREA' where [Area]=3040</t>
  </si>
  <si>
    <t>update [dbo].[Inventory] Set [Auditor]  = 'Jimmy Brown',[Building]  = 'Main Building',[Writer] = 'Sierra Sibley',[AreaDesc] = 'KIT PARTS AISLE' where [Area]=3041</t>
  </si>
  <si>
    <t>update [dbo].[Inventory] Set [Auditor]  = 'Todd Jamison',[Building]  = 'Main Building',[Writer] = 'Erika Perez Montiel',[AreaDesc] = 'KITING MISC' where [Area]=3042</t>
  </si>
  <si>
    <t>update [dbo].[Inventory] Set [Auditor]  = 'Chuck Coleman',[Building]  = 'Main Building',[Writer] = 'Joyce Wysong',[AreaDesc] = 'CARPET/LADDERS/PLYWOOD' where [Area]=3043</t>
  </si>
  <si>
    <t>update [dbo].[Inventory] Set [Auditor]  = 'Chuck Coleman',[Building]  = 'Main Building',[Writer] = 'Serena Edwards',[AreaDesc] = 'DOCK/OUTSIDE' where [Area]=3044</t>
  </si>
  <si>
    <t>update [dbo].[Inventory] Set [Auditor]  = 'Rob Hapner',[Building]  = 'Main Building',[Writer] = 'Tacoryrieo Edwards',[AreaDesc] = 'SWINGBACK' where [Area]=3045</t>
  </si>
  <si>
    <t>update [dbo].[Inventory] Set [Auditor]  = 'Rob Hapner',[Building]  = 'Main Building',[Writer] = 'Tacoryrieo Edwards',[AreaDesc] = 'OUTSIDE EXTRUSION' where [Area]=3046</t>
  </si>
  <si>
    <t>South Building</t>
  </si>
  <si>
    <t>update [dbo].[Inventory] Set [Auditor]  = 'Calen Stoler',[Building]  = 'South Building',[Writer] = 'Owen Craig',[AreaDesc] = 'OUTSIDE/ALL BIMINI AND ARCHES' where [Area]=4001</t>
  </si>
  <si>
    <t>update [dbo].[Inventory] Set [Auditor]  = 'Sothon Chea (Angel)',[Building]  = 'South Building',[Writer] = 'Caleb Raes',[AreaDesc] = 'FINAL RACK/TRANSHEILD' where [Area]=4002</t>
  </si>
  <si>
    <t>update [dbo].[Inventory] Set [Auditor]  = 'Irais Miller',[Building]  = 'South Building',[Writer] = 'Maribel Quinones',[AreaDesc] = 'POINT OF USE RACK BY ENGINE RIG' where [Area]=4003</t>
  </si>
  <si>
    <t>update [dbo].[Inventory] Set [Auditor]  = 'Sothon Chea (Angel)',[Building]  = 'South Building',[Writer] = 'Martin Rodriguez Robles',[AreaDesc] = 'POINT OF USE RACK BY ENGINE RIG' where [Area]=4004</t>
  </si>
  <si>
    <t>update [dbo].[Inventory] Set [Auditor]  = 'Irais Miller',[Building]  = 'South Building',[Writer] = 'Alejandra Marquez',[AreaDesc] = 'SOUTHEAST CORNER RACKS' where [Area]=4005</t>
  </si>
  <si>
    <t>update [dbo].[Inventory] Set [Auditor]  = 'Casey Bernaert',[Building]  = 'South Building',[Writer] = 'Emily Murphy',[AreaDesc] = 'SOUTHEAST CORNER RACKS' where [Area]=4006</t>
  </si>
  <si>
    <t>update [dbo].[Inventory] Set [Auditor]  = 'Calen Stoler',[Building]  = 'South Building',[Writer] = 'John Hall',[AreaDesc] = 'SOUTHEAST CORNER RACKS' where [Area]=4007</t>
  </si>
  <si>
    <t>update [dbo].[Inventory] Set [Auditor]  = 'Breydan Weston',[Building]  = 'South Building',[Writer] = 'Anthony Fizer',[AreaDesc] = 'SOUTHEAST CORNER RACKS' where [Area]=4008</t>
  </si>
  <si>
    <t>update [dbo].[Inventory] Set [Auditor]  = 'Rachel Fausnaugh',[Building]  = 'South Building',[Writer] = 'Reese Morehead',[AreaDesc] = 'SOUTHEAST CORNER RACKS' where [Area]=4009</t>
  </si>
  <si>
    <t>update [dbo].[Inventory] Set [Auditor]  = 'Jake Grove',[Building]  = 'South Building',[Writer] = 'Savanna RinMeak',[AreaDesc] = 'SOUTHEAST CORNER RACKS' where [Area]=4010</t>
  </si>
  <si>
    <t>update [dbo].[Inventory] Set [Auditor]  = 'Casey Bernaert',[Building]  = 'South Building',[Writer] = 'Chase Murphy',[AreaDesc] = 'SOUTHEAST CORNER RACKS' where [Area]=4011</t>
  </si>
  <si>
    <t>update [dbo].[Inventory] Set [Auditor]  = 'AJ Garber',[Building]  = 'South Building',[Writer] = 'Heidi Wilbourn',[AreaDesc] = 'SOUTHEAST CORNER RACKS' where [Area]=4012</t>
  </si>
  <si>
    <t>update [dbo].[Inventory] Set [Auditor]  = 'Francisco Santiago',[Building]  = 'South Building',[Writer] = 'Yovani Guzman',[AreaDesc] = 'CARPET/MATS' where [Area]=4013</t>
  </si>
  <si>
    <t>update [dbo].[Inventory] Set [Auditor]  = 'Brian Wallace',[Building]  = 'South Building',[Writer] = 'Houston George',[AreaDesc] = 'SOUTHEAST CORNER RACKS' where [Area]=4014</t>
  </si>
  <si>
    <t>update [dbo].[Inventory] Set [Auditor]  = 'Brian Wallace',[Building]  = 'South Building',[Writer] = 'Ernalyn Gawne',[AreaDesc] = 'SOUTHEAST CORNER RACKS' where [Area]=4015</t>
  </si>
  <si>
    <t>update [dbo].[Inventory] Set [Auditor]  = 'Breydan Weston',[Building]  = 'South Building',[Writer] = 'Allen Mitchell',[AreaDesc] = 'SOUTHEAST CORNER RACKS' where [Area]=4016</t>
  </si>
  <si>
    <t>update [dbo].[Inventory] Set [Auditor]  = 'Cory Clinton',[Building]  = 'South Building',[Writer] = 'Anthony Suski (Rick)',[AreaDesc] = 'FIBERGLASS' where [Area]=4018</t>
  </si>
  <si>
    <t>update [dbo].[Inventory] Set [Auditor]  = 'Jake Grove',[Building]  = 'South Building',[Writer] = 'Charles Onyon',[AreaDesc] = 'MISC. TAYLOR MADE WINDSHEILDS' where [Area]=4019</t>
  </si>
  <si>
    <t>update [dbo].[Inventory] Set [Auditor]  = 'Jaileen Bibian',[Building]  = 'South Building',[Writer] = 'Shania Stoller',[AreaDesc] = 'MAIN HARNESSES' where [Area]=4020</t>
  </si>
  <si>
    <t>update [dbo].[Inventory] Set [Auditor]  = 'Cory Clinton',[Building]  = 'South Building',[Writer] = 'Anthony Suski (Rick)',[AreaDesc] = 'FIBERGLASS' where [Area]=4021</t>
  </si>
  <si>
    <t>update [dbo].[Inventory] Set [Auditor]  = 'AJ Garber',[Building]  = 'South Building',[Writer] = 'Shania Stoller',[AreaDesc] = 'MARSON' where [Area]=4022</t>
  </si>
  <si>
    <t>update [dbo].[Inventory] Set [Auditor]  = 'Justin Klopsch',[Building]  = 'South Building',[Writer] = 'Lois Skeels',[AreaDesc] = 'MISC. FURNITURE SUPPLIES' where [Area]=4030</t>
  </si>
  <si>
    <t>update [dbo].[Inventory] Set [Auditor]  = 'Nick Cruz',[Building]  = 'South Building',[Writer] = 'Mason Crail',[AreaDesc] = 'FURNITURE' where [Area]=4031</t>
  </si>
  <si>
    <t>update [dbo].[Inventory] Set [Auditor]  = 'Justin Klopsch',[Building]  = 'South Building',[Writer] = 'Lois Skeels',[AreaDesc] = 'MISC. FURNITURE SUPPLIES' where [Area]=4035</t>
  </si>
  <si>
    <t>update [dbo].[Inventory] Set [Auditor]  = 'Francisco Santiago',[Building]  = 'South Building',[Writer] = 'Austin Chinn',[AreaDesc] = 'POINT OF USE' where [Area]=4036</t>
  </si>
  <si>
    <t>update [dbo].[Inventory] Set [Auditor]  = 'Jaileen Bibian',[Building]  = 'South Building',[Writer] = 'Kayla Bowlby',[AreaDesc] = 'POINT OF USE' where [Area]=4037</t>
  </si>
  <si>
    <t>update [dbo].[Inventory] Set [Auditor]  = 'Keith Krause',[Building]  = 'South Building',[Writer] = 'Cornell Connor',[AreaDesc] = 'DECK TRIM/CROSS-MEMBERS' where [Area]=4040</t>
  </si>
  <si>
    <t>update [dbo].[Inventory] Set [Auditor]  = 'Keith Krause',[Building]  = 'South Building',[Writer] = 'John Hall',[AreaDesc] = 'Q FRAMES/RAILS/TUBS/DOCK/ARCHES' where [Area]=4041</t>
  </si>
  <si>
    <t>415 Building</t>
  </si>
  <si>
    <t>update [dbo].[Inventory] Set [Auditor]  = 'Bob Cummins (S)',[Building]  = '415 Building',[Writer] = 'Stephanie Dunker (M)',[AreaDesc] = 'LINE CONSOLE KITTING' where [Area]=5000</t>
  </si>
  <si>
    <t>update [dbo].[Inventory] Set [Auditor]  = 'Bob Cummins (S)',[Building]  = '415 Building',[Writer] = 'Rolando Gonzalez (M)',[AreaDesc] = 'LINE KITTING MATERIAL (COLBIN)' where [Area]=5001</t>
  </si>
  <si>
    <t>update [dbo].[Inventory] Set [Auditor]  = 'Mike Dekker (M)',[Building]  = '415 Building',[Writer] = 'Kevin Toro (S)',[AreaDesc] = 'LINE KITTING MATERIAL' where [Area]=5002</t>
  </si>
  <si>
    <t>update [dbo].[Inventory] Set [Auditor]  = 'Mike Dekker (M)',[Building]  = '415 Building',[Writer] = 'Tim Stone (ENG)',[AreaDesc] = 'LINE KITTING MATERIAL' where [Area]=5003</t>
  </si>
  <si>
    <t>update [dbo].[Inventory] Set [Auditor]  = 'Kevin Hernandez (M)',[Building]  = '415 Building',[Writer] = 'Rossana Osorio Melendez (M)',[AreaDesc] = 'LINE KITTING MATERIAL (IMP)' where [Area]=5004</t>
  </si>
  <si>
    <t>update [dbo].[Inventory] Set [Auditor]  = 'Kevin Hernandez (M)',[Building]  = '415 Building',[Writer] = 'Diana Munoz (M)',[AreaDesc] = 'LINE KITTING MATERIAL (IMP)' where [Area]=5005</t>
  </si>
  <si>
    <t>update [dbo].[Inventory] Set [Auditor]  = 'Nate Creed',[Building]  = '415 Building',[Writer] = 'Brad Elam (W)',[AreaDesc] = 'LINE KITTING MATERIAL' where [Area]=5006</t>
  </si>
  <si>
    <t>update [dbo].[Inventory] Set [Auditor]  = 'Adrianna Jones (M)',[Building]  = '415 Building',[Writer] = 'Nathaniel Wright (M)',[AreaDesc] = 'LINE KITTING MATERIAL' where [Area]=5068</t>
  </si>
  <si>
    <t>update [dbo].[Inventory] Set [Auditor]  = 'Nate Creed',[Building]  = '415 Building',[Writer] = 'Brian Coffee (W)',[AreaDesc] = 'LINE KITTING MATERIAL' where [Area]=5007</t>
  </si>
  <si>
    <t>update [dbo].[Inventory] Set [Auditor]  = 'Adrianna Jones (M)',[Building]  = '415 Building',[Writer] = 'Debora Blanco (COE)',[AreaDesc] = 'LINE KITTING MATERIAL' where [Area]=5069</t>
  </si>
  <si>
    <t>update [dbo].[Inventory] Set [Auditor]  = 'Tom Tuttle',[Building]  = '415 Building',[Writer] = 'John Van Scoyk (W)',[AreaDesc] = 'LINE KITTING MATERIAL' where [Area]=5008</t>
  </si>
  <si>
    <t>update [dbo].[Inventory] Set [Auditor]  = 'Tom Tuttle',[Building]  = '415 Building',[Writer] = 'John Van Scoyk (W)',[AreaDesc] = 'LINE KITTING MATERIAL' where [Area]=5009</t>
  </si>
  <si>
    <t>update [dbo].[Inventory] Set [Auditor]  = 'Zach Klecker (S)',[Building]  = '415 Building',[Writer] = 'Francisco Torres (W)',[AreaDesc] = 'LINE KITTING MATERIAL' where [Area]=5010</t>
  </si>
  <si>
    <t>update [dbo].[Inventory] Set [Auditor]  = 'Jessie Savangvongsavanh',[Building]  = '415 Building',[Writer] = 'Troy Kantz',[AreaDesc] = 'LINE KITTING MATERIAL' where [Area]=5011</t>
  </si>
  <si>
    <t>update [dbo].[Inventory] Set [Auditor]  = 'David Huisman (M)',[Building]  = '415 Building',[Writer] = 'Philip Parker (COE)',[AreaDesc] = 'LINE KITTING MATERIAL' where [Area]=5012</t>
  </si>
  <si>
    <t>update [dbo].[Inventory] Set [Auditor]  = 'Jessie Savangvongsavanh',[Building]  = '415 Building',[Writer] = 'Paul Thorpe (N)',[AreaDesc] = 'LINE KITTING MATERIAL' where [Area]=5013</t>
  </si>
  <si>
    <t>update [dbo].[Inventory] Set [Auditor]  = 'Ishmael Bermudez (M)',[Building]  = '415 Building',[Writer] = 'Lucila Juarez (N)',[AreaDesc] = 'LINE KITTING MATERIAL' where [Area]=5014</t>
  </si>
  <si>
    <t>update [dbo].[Inventory] Set [Auditor]  = 'Ishmael Bermudez (M)',[Building]  = '415 Building',[Writer] = 'James Quarles',[AreaDesc] = 'LINE KITTING MATERIAL' where [Area]=5015</t>
  </si>
  <si>
    <t>update [dbo].[Inventory] Set [Auditor]  = 'Rob Cowan (M)',[Building]  = '415 Building',[Writer] = 'Dustin Alwine (M)',[AreaDesc] = 'LINE KITTING MATERIAL' where [Area]=5016</t>
  </si>
  <si>
    <t>update [dbo].[Inventory] Set [Auditor]  = 'Rob Cowan (M)',[Building]  = '415 Building',[Writer] = 'Dewayne Turnbo',[AreaDesc] = 'LINE KITTING MATERIAL' where [Area]=5017</t>
  </si>
  <si>
    <t>update [dbo].[Inventory] Set [Auditor]  = 'Rich Mcphee (S)',[Building]  = '415 Building',[Writer] = 'Korey Carpenter (M)',[AreaDesc] = 'CONSOLE KITTING MATERIAL' where [Area]=5018</t>
  </si>
  <si>
    <t>update [dbo].[Inventory] Set [Auditor]  = 'Rich Mcphee (S)',[Building]  = '415 Building',[Writer] = 'Troy Weaver (M)',[AreaDesc] = 'CONSOLE KITTING MATERIAL' where [Area]=5019</t>
  </si>
  <si>
    <t>update [dbo].[Inventory] Set [Auditor]  = 'Joseph Braun (M)',[Building]  = '415 Building',[Writer] = 'Trellus Washington (M)',[AreaDesc] = 'CONSOLE KITTING MATERIAL' where [Area]=5020</t>
  </si>
  <si>
    <t>update [dbo].[Inventory] Set [Auditor]  = 'Brian Rupp (ENG)',[Building]  = '415 Building',[Writer] = 'Cole Thompson (M)',[AreaDesc] = 'CONSOLE KITTING MATERIAL' where [Area]=5070</t>
  </si>
  <si>
    <t>update [dbo].[Inventory] Set [Auditor]  = 'Kennedy McCue (M)',[Building]  = '415 Building',[Writer] = 'Christopher Laws (M)',[AreaDesc] = 'CONSOLE KITTING MATERIAL' where [Area]=5021</t>
  </si>
  <si>
    <t>update [dbo].[Inventory] Set [Auditor]  = 'Jeff Petersen (M)',[Building]  = '415 Building',[Writer] = 'Marylou Sanchez (M)',[AreaDesc] = 'CONSOLE KITTING MATERIAL' where [Area]=5022</t>
  </si>
  <si>
    <t>update [dbo].[Inventory] Set [Auditor]  = 'Elijah Burch (S)',[Building]  = '415 Building',[Writer] = 'Jesus Gonzalez',[AreaDesc] = 'CONSOLE KITTING MATERIAL' where [Area]=5023</t>
  </si>
  <si>
    <t>update [dbo].[Inventory] Set [Auditor]  = 'Elijah Burch (S)',[Building]  = '415 Building',[Writer] = 'Jesus Gonzalez',[AreaDesc] = 'CONSOLE KITTING MATERIAL' where [Area]=5024</t>
  </si>
  <si>
    <t>update [dbo].[Inventory] Set [Auditor]  = 'Brian Rupp (ENG)',[Building]  = '415 Building',[Writer] = '(Charon) Ronnie Hart (N)',[AreaDesc] = 'CONSOLE KITTING MATERIAL' where [Area]=5025</t>
  </si>
  <si>
    <t>update [dbo].[Inventory] Set [Auditor]  = 'Ashlee Villwok (M)',[Building]  = '415 Building',[Writer] = 'Daniel Alanis Caballero (M)',[AreaDesc] = 'CONSOLE KITTING MATERIAL' where [Area]=5026</t>
  </si>
  <si>
    <t>update [dbo].[Inventory] Set [Auditor]  = 'Aaron McCollough (S)',[Building]  = '415 Building',[Writer] = 'Dewayne Turnbo',[AreaDesc] = 'CONSOLE KITTING MATERIAL' where [Area]=5027</t>
  </si>
  <si>
    <t>update [dbo].[Inventory] Set [Auditor]  = 'Aaron McCollough (S)',[Building]  = '415 Building',[Writer] = 'Troy Weaver (M)',[AreaDesc] = 'CONSOLE KITTING MATERIAL' where [Area]=5028</t>
  </si>
  <si>
    <t>update [dbo].[Inventory] Set [Auditor]  = 'Ashlee Villwok (M)',[Building]  = '415 Building',[Writer] = 'Isaiah Kenney',[AreaDesc] = 'CONSOLE KITTING MATERIAL' where [Area]=5029</t>
  </si>
  <si>
    <t>update [dbo].[Inventory] Set [Auditor]  = 'Rich Wegner (M)',[Building]  = '415 Building',[Writer] = 'Alex Coker (M)',[AreaDesc] = 'MISC' where [Area]=5030</t>
  </si>
  <si>
    <t>update [dbo].[Inventory] Set [Auditor]  = 'Craig Hall',[Building]  = '415 Building',[Writer] = 'Barbara Woost',[AreaDesc] = 'MISC' where [Area]=5031</t>
  </si>
  <si>
    <t>update [dbo].[Inventory] Set [Auditor]  = 'Craig Hall',[Building]  = '415 Building',[Writer] = 'Barbara Woost',[AreaDesc] = 'MISC' where [Area]=5032</t>
  </si>
  <si>
    <t>update [dbo].[Inventory] Set [Auditor]  = 'Craig Blume (ENG)',[Building]  = '415 Building',[Writer] = 'Robert Bower (M)',[AreaDesc] = 'MISC' where [Area]=5033</t>
  </si>
  <si>
    <t>update [dbo].[Inventory] Set [Auditor]  = 'Eileen Davis (ENG)',[Building]  = '415 Building',[Writer] = 'Owen Fish (Shipping)',[AreaDesc] = 'MISC' where [Area]=5034</t>
  </si>
  <si>
    <t>update [dbo].[Inventory] Set [Auditor]  = 'Anthony Simeri (S)',[Building]  = '415 Building',[Writer] = 'Jacob Mullins (M)',[AreaDesc] = 'MISC' where [Area]=5035</t>
  </si>
  <si>
    <t>update [dbo].[Inventory] Set [Auditor]  = 'Lindsay Baker (M)',[Building]  = '415 Building',[Writer] = 'Kyle Barner (M)',[AreaDesc] = 'MISC' where [Area]=5036</t>
  </si>
  <si>
    <t>update [dbo].[Inventory] Set [Auditor]  = 'Jeff Petersen (M)',[Building]  = '415 Building',[Writer] = 'Henry Gawne Jr. (M)',[AreaDesc] = 'MISC' where [Area]=5037</t>
  </si>
  <si>
    <t>update [dbo].[Inventory] Set [Auditor]  = 'Justin Pontius (S)',[Building]  = '415 Building',[Writer] = 'Anthony Tirado (S)',[AreaDesc] = 'MISC' where [Area]=5038</t>
  </si>
  <si>
    <t>update [dbo].[Inventory] Set [Auditor]  = 'Craig Smith (ENG)',[Building]  = '415 Building',[Writer] = 'Quincie Owens (N)',[AreaDesc] = 'METAL FAB' where [Area]=5039</t>
  </si>
  <si>
    <t>update [dbo].[Inventory] Set [Auditor]  = 'Mark Smith (S)',[Building]  = '415 Building',[Writer] = 'Jesus Mosquera (N)',[AreaDesc] = 'MISC' where [Area]=5040</t>
  </si>
  <si>
    <t>update [dbo].[Inventory] Set [Auditor]  = 'Victor Garcia',[Building]  = '415 Building',[Writer] = 'Bryan Valadez',[AreaDesc] = 'MISC' where [Area]=5041</t>
  </si>
  <si>
    <t>update [dbo].[Inventory] Set [Auditor]  = 'Victor Garcia',[Building]  = '415 Building',[Writer] = 'Bryan Valadez',[AreaDesc] = 'MISC' where [Area]=5042</t>
  </si>
  <si>
    <t>update [dbo].[Inventory] Set [Auditor]  = 'Justin Pontius (S)',[Building]  = '415 Building',[Writer] = 'Dienieth Sanchez De Bermudez (N)',[AreaDesc] = 'MISC' where [Area]=5043</t>
  </si>
  <si>
    <t>update [dbo].[Inventory] Set [Auditor]  = 'Mark Smith (S)',[Building]  = '415 Building',[Writer] = 'Jesus Mosquera (N)',[AreaDesc] = 'MISC' where [Area]=5044</t>
  </si>
  <si>
    <t>update [dbo].[Inventory] Set [Auditor]  = 'Craig Smith (ENG)',[Building]  = '415 Building',[Writer] = 'David Kittimasak (N)',[AreaDesc] = 'MISC' where [Area]=5071</t>
  </si>
  <si>
    <t>update [dbo].[Inventory] Set [Auditor]  = 'Nick Sceggell (S)',[Building]  = '415 Building',[Writer] = 'William Perach',[AreaDesc] = 'MISC' where [Area]=5045</t>
  </si>
  <si>
    <t>update [dbo].[Inventory] Set [Auditor]  = 'Nick Sceggell (S)',[Building]  = '415 Building',[Writer] = 'Jeremy Smith',[AreaDesc] = 'MISC' where [Area]=5046</t>
  </si>
  <si>
    <t>update [dbo].[Inventory] Set [Auditor]  = 'Curtis Nelson (M)',[Building]  = '415 Building',[Writer] = 'Antwan Thompson (M)',[AreaDesc] = 'LADDERS' where [Area]=5047</t>
  </si>
  <si>
    <t>update [dbo].[Inventory] Set [Auditor]  = 'Curtis Nelson (M)',[Building]  = '415 Building',[Writer] = 'Agustin Martinez',[AreaDesc] = 'LADDERS' where [Area]=5048</t>
  </si>
  <si>
    <t>update [dbo].[Inventory] Set [Auditor]  = 'Jeff Inman',[Building]  = '415 Building',[Writer] = 'Jesse May (S)',[AreaDesc] = 'RAW CONSOLES' where [Area]=5049</t>
  </si>
  <si>
    <t>update [dbo].[Inventory] Set [Auditor]  = 'Jeff Inman',[Building]  = '415 Building',[Writer] = 'Jesse May (S)',[AreaDesc] = 'RAW CONSOLES' where [Area]=5050</t>
  </si>
  <si>
    <t>update [dbo].[Inventory] Set [Auditor]  = 'Logan Fish',[Building]  = '415 Building',[Writer] = 'Anthony Tirado (S)',[AreaDesc] = 'MISC' where [Area]=5051</t>
  </si>
  <si>
    <t>update [dbo].[Inventory] Set [Auditor]  = 'Jake Scholfield',[Building]  = '415 Building',[Writer] = 'Jose Tirado Ochoa',[AreaDesc] = 'SKI TOW/MISC.' where [Area]=5052</t>
  </si>
  <si>
    <t>update [dbo].[Inventory] Set [Auditor]  = 'Jake Scholfield',[Building]  = '415 Building',[Writer] = 'Jose Tirado Ochoa',[AreaDesc] = 'DOCK/CARPET/WOOD/MISC' where [Area]=5053</t>
  </si>
  <si>
    <t>update [dbo].[Inventory] Set [Auditor]  = 'Rich Wegner (M)',[Building]  = '415 Building',[Writer] = 'Dolores Edwards',[AreaDesc] = 'CONSOLE KITTING' where [Area]=5055</t>
  </si>
  <si>
    <t>update [dbo].[Inventory] Set [Auditor]  = 'Emily Mitchell',[Building]  = '415 Building',[Writer] = 'Mallory Lafayette',[AreaDesc] = 'GAUGE PANELS' where [Area]=5056</t>
  </si>
  <si>
    <t>update [dbo].[Inventory] Set [Auditor]  = 'Emily Mitchell',[Building]  = '415 Building',[Writer] = 'Mallory Lafayette',[AreaDesc] = 'CONSOLE KITTING' where [Area]=5057</t>
  </si>
  <si>
    <t>update [dbo].[Inventory] Set [Auditor]  = 'Kelly Slone (M)',[Building]  = '415 Building',[Writer] = 'Dolores Edwards',[AreaDesc] = 'CONSOLE KITTING' where [Area]=5058</t>
  </si>
  <si>
    <t>update [dbo].[Inventory] Set [Auditor]  = 'Anthony Simeri (S)',[Building]  = '415 Building',[Writer] = 'Orianna Zambrano',[AreaDesc] = 'CONSOLE KITTING' where [Area]=5059</t>
  </si>
  <si>
    <t>update [dbo].[Inventory] Set [Auditor]  = 'Kelly Slone (M)',[Building]  = '415 Building',[Writer] = 'Tabitha Good',[AreaDesc] = 'CONSOLE KITTING' where [Area]=5060</t>
  </si>
  <si>
    <t>update [dbo].[Inventory] Set [Auditor]  = 'Jim Brown',[Building]  = '415 Building',[Writer] = 'Bambi Holliday',[AreaDesc] = 'FINAL KITS' where [Area]=5061</t>
  </si>
  <si>
    <t>update [dbo].[Inventory] Set [Auditor]  = 'Jim Brown',[Building]  = '415 Building',[Writer] = 'Michelle Anzalduw',[AreaDesc] = 'RED KITS' where [Area]=5062</t>
  </si>
  <si>
    <t>update [dbo].[Inventory] Set [Auditor]  = 'Eleesha Miller',[Building]  = '415 Building',[Writer] = 'Russel Milanese',[AreaDesc] = 'SKI TOW &amp; LIGHTS' where [Area]=5063</t>
  </si>
  <si>
    <t>update [dbo].[Inventory] Set [Auditor]  = 'Eleesha Miller',[Building]  = '415 Building',[Writer] = 'Russel Milanese',[AreaDesc] = 'SUB ASSEMBLY' where [Area]=5064</t>
  </si>
  <si>
    <t>update [dbo].[Inventory] Set [Auditor]  = 'Eleesha Miller',[Building]  = '415 Building',[Writer] = 'Russel Milanese',[AreaDesc] = 'GREEN KITS' where [Area]=5065</t>
  </si>
  <si>
    <t>update [dbo].[Inventory] Set [Auditor]  = 'Ray Gonet',[Building]  = '415 Building',[Writer] = 'Felix Maldonado',[AreaDesc] = 'METAL FAB' where [Area]=5066</t>
  </si>
  <si>
    <t>update [dbo].[Inventory] Set [Auditor]  = 'Heather Kantz',[Building]  = '415 Building',[Writer] = 'Chris VanDeventer',[AreaDesc] = 'RAW CONSOLES / COE OFFSITE' where [Area]=6001</t>
  </si>
  <si>
    <t>Aftermarket (415)</t>
  </si>
  <si>
    <t>update [dbo].[Inventory] Set [Auditor]  = 'Devin Wallace',[Building]  = 'Aftermarket (415)',[Writer] = 'Vanessa Rodriguez Timaure',[AreaDesc] = 'AFTERMARKET PARTS' where [Area]=7001</t>
  </si>
  <si>
    <t>update [dbo].[Inventory] Set [Auditor]  = 'Devin Wallace',[Building]  = 'Aftermarket (415)',[Writer] = 'Tim Byers',[AreaDesc] = 'AFTERMARKET PARTS' where [Area]=7002</t>
  </si>
  <si>
    <t>update [dbo].[Inventory] Set [Auditor]  = 'Collin VanDeventer',[Building]  = 'Aftermarket (415)',[Writer] = 'Owen Bryers',[AreaDesc] = 'AFTERMARKET PARTS' where [Area]=7003</t>
  </si>
  <si>
    <t>update [dbo].[Inventory] Set [Auditor]  = 'Collin VanDeventer',[Building]  = 'Aftermarket (415)',[Writer] = 'Tess Reschke',[AreaDesc] = 'AFTERMARKET PARTS' where [Area]=7004</t>
  </si>
  <si>
    <t>update [dbo].[Inventory] Set [Auditor]  = 'Collin VanDeventer',[Building]  = 'Aftermarket (415)',[Writer] = 'Brandi Vowell',[AreaDesc] = 'AFTERMARKET PARTS' where [Area]=7005</t>
  </si>
  <si>
    <t>update [dbo].[Inventory] Set [Auditor]  = 'Devin Wallace',[Building]  = 'Aftermarket (415)',[Writer] = 'Collin Lantz',[AreaDesc] = 'AFTERMARKET PARTS' where [Area]=7006</t>
  </si>
  <si>
    <t>update [dbo].[Inventory] Set [Auditor]  = 'Devin Wallace',[Building]  = 'Aftermarket (415)',[Writer] = 'Brianna Mendoza (M)',[AreaDesc] = 'AFTERMARKET PARTS' where [Area]=7007</t>
  </si>
  <si>
    <t>Shipping Building</t>
  </si>
  <si>
    <t>update [dbo].[Inventory] Set [Auditor]  = 'Blain Trosper',[Building]  = 'Shipping Building',[Writer] = 'Daniel Degraff',[AreaDesc] = 'FINISHED GOODS' where [Area]=4049</t>
  </si>
  <si>
    <t>Other Locations</t>
  </si>
  <si>
    <t>update [dbo].[Inventory] Set [Auditor]  = 'John Buwalda',[Building]  = 'Other Locations',[Writer] = '',[AreaDesc] = 'OFF PREMISE INVENTORY' where [Area]=4050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</si>
</sst>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C000"/>
      <name val="Arial"/>
      <family val="2"/>
    </font>
    <font>
      <sz val="10"/>
      <color rgb="FF0070C0"/>
      <name val="Arial"/>
      <family val="2"/>
    </font>
    <font>
      <b/>
      <sz val="16"/>
      <color rgb="FF0070C0"/>
      <name val="Arial"/>
      <family val="2"/>
    </font>
    <font>
      <b/>
      <sz val="16"/>
      <color rgb="FFFF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6"/>
      <color rgb="FFFFC000"/>
      <name val="Arial"/>
      <family val="2"/>
    </font>
    <font>
      <sz val="16"/>
      <color theme="1"/>
      <name val="Arial"/>
      <family val="2"/>
    </font>
    <font>
      <sz val="16"/>
      <color rgb="FF0070C0"/>
      <name val="Arial"/>
      <family val="2"/>
    </font>
    <font>
      <b/>
      <sz val="14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b/>
      <sz val="16"/>
      <color rgb="FFFFFFFF"/>
      <name val="Arial"/>
      <family val="2"/>
    </font>
    <font>
      <sz val="16"/>
      <color rgb="FF242424"/>
      <name val="Aptos Narrow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Arial"/>
      <family val="2"/>
    </font>
    <font>
      <sz val="18"/>
      <color rgb="FF242424"/>
      <name val="Aptos Narrow"/>
      <family val="2"/>
    </font>
    <font>
      <b/>
      <sz val="16"/>
      <color theme="4"/>
      <name val="Arial"/>
      <family val="2"/>
    </font>
    <font>
      <b/>
      <sz val="16"/>
      <name val="Arial"/>
      <family val="2"/>
    </font>
    <font>
      <sz val="16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Arial"/>
      <family val="2"/>
    </font>
    <font>
      <sz val="14"/>
      <color rgb="FFFFC000"/>
      <name val="Arial"/>
      <family val="2"/>
    </font>
    <font>
      <sz val="14"/>
      <color rgb="FF0070C0"/>
      <name val="Arial"/>
      <family val="2"/>
    </font>
    <font>
      <sz val="14"/>
      <name val="Arial"/>
      <family val="2"/>
    </font>
    <font>
      <sz val="16"/>
      <color rgb="FF242424"/>
      <name val="Arial"/>
      <family val="2"/>
    </font>
    <font>
      <sz val="16"/>
      <color rgb="FF252424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808080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2" tint="-0.249977111117893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CC7CE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9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9" fillId="0" borderId="1" xfId="0" applyFont="1" applyBorder="1"/>
    <xf numFmtId="0" fontId="9" fillId="2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0" fillId="0" borderId="1" xfId="0" applyFont="1" applyBorder="1"/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5" borderId="1" xfId="0" applyFont="1" applyFill="1" applyBorder="1"/>
    <xf numFmtId="0" fontId="9" fillId="6" borderId="1" xfId="0" applyFont="1" applyFill="1" applyBorder="1"/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2" fillId="0" borderId="0" xfId="0" applyFont="1"/>
    <xf numFmtId="0" fontId="3" fillId="2" borderId="0" xfId="0" applyFont="1" applyFill="1"/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8" fillId="2" borderId="5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0" borderId="6" xfId="0" applyFont="1" applyBorder="1" applyAlignment="1">
      <alignment horizontal="center" vertical="center" wrapText="1"/>
    </xf>
    <xf numFmtId="0" fontId="9" fillId="2" borderId="6" xfId="0" applyFont="1" applyFill="1" applyBorder="1"/>
    <xf numFmtId="0" fontId="9" fillId="8" borderId="3" xfId="0" applyFont="1" applyFill="1" applyBorder="1" applyAlignment="1">
      <alignment horizontal="left"/>
    </xf>
    <xf numFmtId="0" fontId="9" fillId="8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 wrapText="1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9" xfId="0" applyFont="1" applyBorder="1"/>
    <xf numFmtId="0" fontId="9" fillId="7" borderId="9" xfId="0" applyFont="1" applyFill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9" fillId="6" borderId="9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 wrapText="1"/>
    </xf>
    <xf numFmtId="0" fontId="9" fillId="0" borderId="12" xfId="0" applyFont="1" applyBorder="1" applyAlignment="1">
      <alignment horizontal="left"/>
    </xf>
    <xf numFmtId="0" fontId="9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horizontal="center"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164" fontId="15" fillId="3" borderId="0" xfId="0" applyNumberFormat="1" applyFont="1" applyFill="1"/>
    <xf numFmtId="0" fontId="2" fillId="2" borderId="0" xfId="0" applyFont="1" applyFill="1" applyAlignment="1">
      <alignment horizontal="right"/>
    </xf>
    <xf numFmtId="0" fontId="2" fillId="2" borderId="7" xfId="0" applyFont="1" applyFill="1" applyBorder="1" applyAlignment="1">
      <alignment horizontal="right"/>
    </xf>
    <xf numFmtId="164" fontId="2" fillId="0" borderId="0" xfId="0" applyNumberFormat="1" applyFont="1"/>
    <xf numFmtId="0" fontId="9" fillId="10" borderId="1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left"/>
    </xf>
    <xf numFmtId="0" fontId="10" fillId="11" borderId="2" xfId="0" applyFont="1" applyFill="1" applyBorder="1" applyAlignment="1">
      <alignment horizontal="left"/>
    </xf>
    <xf numFmtId="0" fontId="9" fillId="11" borderId="2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left"/>
    </xf>
    <xf numFmtId="0" fontId="17" fillId="2" borderId="0" xfId="0" applyFont="1" applyFill="1"/>
    <xf numFmtId="0" fontId="17" fillId="0" borderId="0" xfId="0" applyFont="1"/>
    <xf numFmtId="0" fontId="18" fillId="2" borderId="0" xfId="0" applyFont="1" applyFill="1"/>
    <xf numFmtId="0" fontId="9" fillId="12" borderId="1" xfId="0" applyFont="1" applyFill="1" applyBorder="1" applyAlignment="1">
      <alignment wrapText="1"/>
    </xf>
    <xf numFmtId="0" fontId="11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left" wrapText="1"/>
    </xf>
    <xf numFmtId="0" fontId="9" fillId="12" borderId="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wrapText="1"/>
    </xf>
    <xf numFmtId="0" fontId="9" fillId="12" borderId="2" xfId="0" applyFont="1" applyFill="1" applyBorder="1"/>
    <xf numFmtId="0" fontId="9" fillId="12" borderId="2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left"/>
    </xf>
    <xf numFmtId="0" fontId="13" fillId="11" borderId="2" xfId="0" applyFont="1" applyFill="1" applyBorder="1" applyAlignment="1">
      <alignment horizontal="left"/>
    </xf>
    <xf numFmtId="0" fontId="13" fillId="11" borderId="2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9" fillId="13" borderId="2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left"/>
    </xf>
    <xf numFmtId="0" fontId="19" fillId="2" borderId="7" xfId="0" applyFont="1" applyFill="1" applyBorder="1"/>
    <xf numFmtId="0" fontId="8" fillId="0" borderId="17" xfId="0" applyFont="1" applyBorder="1" applyAlignment="1">
      <alignment horizontal="left" wrapText="1"/>
    </xf>
    <xf numFmtId="0" fontId="8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9" fillId="12" borderId="1" xfId="0" applyFont="1" applyFill="1" applyBorder="1" applyAlignment="1">
      <alignment horizontal="left"/>
    </xf>
    <xf numFmtId="0" fontId="9" fillId="15" borderId="1" xfId="0" applyFont="1" applyFill="1" applyBorder="1" applyAlignment="1">
      <alignment horizontal="left"/>
    </xf>
    <xf numFmtId="0" fontId="8" fillId="15" borderId="1" xfId="0" applyFont="1" applyFill="1" applyBorder="1"/>
    <xf numFmtId="0" fontId="9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wrapText="1"/>
    </xf>
    <xf numFmtId="0" fontId="8" fillId="15" borderId="2" xfId="0" applyFont="1" applyFill="1" applyBorder="1"/>
    <xf numFmtId="0" fontId="9" fillId="15" borderId="2" xfId="0" applyFont="1" applyFill="1" applyBorder="1" applyAlignment="1">
      <alignment horizontal="center"/>
    </xf>
    <xf numFmtId="0" fontId="9" fillId="15" borderId="10" xfId="0" applyFont="1" applyFill="1" applyBorder="1" applyAlignment="1">
      <alignment horizontal="left"/>
    </xf>
    <xf numFmtId="0" fontId="10" fillId="0" borderId="3" xfId="0" applyFont="1" applyBorder="1"/>
    <xf numFmtId="0" fontId="9" fillId="0" borderId="3" xfId="0" applyFont="1" applyBorder="1" applyAlignment="1">
      <alignment wrapText="1"/>
    </xf>
    <xf numFmtId="0" fontId="10" fillId="0" borderId="6" xfId="0" applyFont="1" applyBorder="1"/>
    <xf numFmtId="0" fontId="9" fillId="0" borderId="8" xfId="0" applyFont="1" applyBorder="1"/>
    <xf numFmtId="0" fontId="10" fillId="0" borderId="8" xfId="0" applyFont="1" applyBorder="1"/>
    <xf numFmtId="0" fontId="9" fillId="5" borderId="1" xfId="0" applyFont="1" applyFill="1" applyBorder="1" applyAlignment="1">
      <alignment horizontal="center"/>
    </xf>
    <xf numFmtId="0" fontId="9" fillId="5" borderId="3" xfId="0" applyFont="1" applyFill="1" applyBorder="1"/>
    <xf numFmtId="0" fontId="9" fillId="11" borderId="1" xfId="0" applyFont="1" applyFill="1" applyBorder="1"/>
    <xf numFmtId="0" fontId="9" fillId="11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8" fillId="17" borderId="2" xfId="0" applyFont="1" applyFill="1" applyBorder="1"/>
    <xf numFmtId="0" fontId="9" fillId="17" borderId="2" xfId="0" applyFont="1" applyFill="1" applyBorder="1" applyAlignment="1">
      <alignment horizontal="center"/>
    </xf>
    <xf numFmtId="0" fontId="9" fillId="17" borderId="2" xfId="0" applyFont="1" applyFill="1" applyBorder="1" applyAlignment="1">
      <alignment horizontal="left"/>
    </xf>
    <xf numFmtId="0" fontId="9" fillId="17" borderId="2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left"/>
    </xf>
    <xf numFmtId="0" fontId="2" fillId="2" borderId="3" xfId="0" applyFont="1" applyFill="1" applyBorder="1"/>
    <xf numFmtId="0" fontId="9" fillId="0" borderId="16" xfId="0" applyFont="1" applyBorder="1"/>
    <xf numFmtId="0" fontId="9" fillId="0" borderId="18" xfId="0" applyFont="1" applyBorder="1"/>
    <xf numFmtId="0" fontId="9" fillId="0" borderId="15" xfId="0" applyFont="1" applyBorder="1"/>
    <xf numFmtId="0" fontId="2" fillId="0" borderId="3" xfId="0" applyFont="1" applyBorder="1"/>
    <xf numFmtId="0" fontId="9" fillId="2" borderId="16" xfId="0" applyFont="1" applyFill="1" applyBorder="1"/>
    <xf numFmtId="0" fontId="9" fillId="0" borderId="16" xfId="0" applyFont="1" applyBorder="1" applyAlignment="1">
      <alignment wrapText="1"/>
    </xf>
    <xf numFmtId="0" fontId="8" fillId="0" borderId="16" xfId="0" applyFont="1" applyBorder="1"/>
    <xf numFmtId="0" fontId="2" fillId="2" borderId="16" xfId="0" applyFont="1" applyFill="1" applyBorder="1"/>
    <xf numFmtId="0" fontId="8" fillId="19" borderId="16" xfId="0" applyFont="1" applyFill="1" applyBorder="1"/>
    <xf numFmtId="0" fontId="7" fillId="0" borderId="16" xfId="0" applyFont="1" applyBorder="1"/>
    <xf numFmtId="0" fontId="8" fillId="16" borderId="3" xfId="0" applyFont="1" applyFill="1" applyBorder="1"/>
    <xf numFmtId="0" fontId="8" fillId="16" borderId="16" xfId="0" applyFont="1" applyFill="1" applyBorder="1"/>
    <xf numFmtId="0" fontId="8" fillId="20" borderId="16" xfId="0" applyFont="1" applyFill="1" applyBorder="1"/>
    <xf numFmtId="0" fontId="8" fillId="9" borderId="3" xfId="0" applyFont="1" applyFill="1" applyBorder="1"/>
    <xf numFmtId="0" fontId="2" fillId="0" borderId="16" xfId="0" applyFont="1" applyBorder="1"/>
    <xf numFmtId="0" fontId="20" fillId="0" borderId="16" xfId="0" applyFont="1" applyBorder="1"/>
    <xf numFmtId="0" fontId="20" fillId="21" borderId="1" xfId="0" applyFont="1" applyFill="1" applyBorder="1"/>
    <xf numFmtId="0" fontId="20" fillId="21" borderId="3" xfId="0" applyFont="1" applyFill="1" applyBorder="1"/>
    <xf numFmtId="0" fontId="9" fillId="22" borderId="3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3" fillId="11" borderId="9" xfId="0" applyFont="1" applyFill="1" applyBorder="1" applyAlignment="1">
      <alignment horizontal="left"/>
    </xf>
    <xf numFmtId="0" fontId="22" fillId="11" borderId="15" xfId="0" applyFont="1" applyFill="1" applyBorder="1" applyAlignment="1">
      <alignment horizontal="left"/>
    </xf>
    <xf numFmtId="0" fontId="23" fillId="11" borderId="7" xfId="0" applyFont="1" applyFill="1" applyBorder="1"/>
    <xf numFmtId="0" fontId="10" fillId="11" borderId="3" xfId="0" applyFont="1" applyFill="1" applyBorder="1"/>
    <xf numFmtId="0" fontId="9" fillId="11" borderId="1" xfId="0" applyFont="1" applyFill="1" applyBorder="1" applyAlignment="1">
      <alignment horizontal="center" vertical="center" wrapText="1"/>
    </xf>
    <xf numFmtId="0" fontId="9" fillId="11" borderId="8" xfId="0" applyFont="1" applyFill="1" applyBorder="1"/>
    <xf numFmtId="0" fontId="21" fillId="11" borderId="0" xfId="0" applyFont="1" applyFill="1"/>
    <xf numFmtId="0" fontId="24" fillId="24" borderId="4" xfId="0" applyFont="1" applyFill="1" applyBorder="1"/>
    <xf numFmtId="0" fontId="24" fillId="3" borderId="5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left" wrapText="1"/>
    </xf>
    <xf numFmtId="0" fontId="24" fillId="24" borderId="5" xfId="0" applyFont="1" applyFill="1" applyBorder="1" applyAlignment="1">
      <alignment horizontal="center" wrapText="1"/>
    </xf>
    <xf numFmtId="0" fontId="24" fillId="3" borderId="11" xfId="0" applyFont="1" applyFill="1" applyBorder="1" applyAlignment="1">
      <alignment horizontal="left" wrapText="1"/>
    </xf>
    <xf numFmtId="0" fontId="16" fillId="25" borderId="1" xfId="0" applyFont="1" applyFill="1" applyBorder="1"/>
    <xf numFmtId="0" fontId="16" fillId="24" borderId="15" xfId="0" applyFont="1" applyFill="1" applyBorder="1"/>
    <xf numFmtId="0" fontId="16" fillId="25" borderId="15" xfId="0" applyFont="1" applyFill="1" applyBorder="1"/>
    <xf numFmtId="0" fontId="16" fillId="26" borderId="15" xfId="0" applyFont="1" applyFill="1" applyBorder="1"/>
    <xf numFmtId="0" fontId="16" fillId="5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7" borderId="1" xfId="0" applyFont="1" applyFill="1" applyBorder="1" applyAlignment="1">
      <alignment horizontal="left"/>
    </xf>
    <xf numFmtId="0" fontId="10" fillId="0" borderId="20" xfId="0" applyFont="1" applyBorder="1"/>
    <xf numFmtId="0" fontId="12" fillId="11" borderId="0" xfId="0" applyFont="1" applyFill="1"/>
    <xf numFmtId="0" fontId="26" fillId="18" borderId="0" xfId="0" applyFont="1" applyFill="1"/>
    <xf numFmtId="0" fontId="2" fillId="2" borderId="21" xfId="0" applyFont="1" applyFill="1" applyBorder="1" applyAlignment="1">
      <alignment horizontal="right"/>
    </xf>
    <xf numFmtId="0" fontId="10" fillId="6" borderId="9" xfId="0" applyFont="1" applyFill="1" applyBorder="1" applyAlignment="1">
      <alignment horizontal="left"/>
    </xf>
    <xf numFmtId="0" fontId="10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2" borderId="7" xfId="0" applyFont="1" applyFill="1" applyBorder="1"/>
    <xf numFmtId="0" fontId="10" fillId="0" borderId="9" xfId="0" applyFont="1" applyBorder="1"/>
    <xf numFmtId="0" fontId="10" fillId="15" borderId="1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left" wrapText="1"/>
    </xf>
    <xf numFmtId="0" fontId="6" fillId="2" borderId="24" xfId="0" applyFont="1" applyFill="1" applyBorder="1"/>
    <xf numFmtId="0" fontId="12" fillId="11" borderId="1" xfId="0" applyFont="1" applyFill="1" applyBorder="1"/>
    <xf numFmtId="0" fontId="9" fillId="6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10" fillId="0" borderId="10" xfId="0" applyFont="1" applyBorder="1"/>
    <xf numFmtId="0" fontId="8" fillId="11" borderId="1" xfId="0" applyFont="1" applyFill="1" applyBorder="1" applyAlignment="1">
      <alignment horizontal="center" wrapText="1"/>
    </xf>
    <xf numFmtId="0" fontId="8" fillId="29" borderId="2" xfId="0" applyFont="1" applyFill="1" applyBorder="1"/>
    <xf numFmtId="0" fontId="9" fillId="29" borderId="2" xfId="0" applyFont="1" applyFill="1" applyBorder="1" applyAlignment="1">
      <alignment horizontal="center"/>
    </xf>
    <xf numFmtId="0" fontId="8" fillId="29" borderId="3" xfId="0" applyFont="1" applyFill="1" applyBorder="1"/>
    <xf numFmtId="0" fontId="9" fillId="29" borderId="2" xfId="0" applyFont="1" applyFill="1" applyBorder="1" applyAlignment="1">
      <alignment horizontal="center" vertical="center" wrapText="1"/>
    </xf>
    <xf numFmtId="0" fontId="8" fillId="29" borderId="10" xfId="0" applyFont="1" applyFill="1" applyBorder="1" applyAlignment="1">
      <alignment horizontal="left"/>
    </xf>
    <xf numFmtId="0" fontId="8" fillId="29" borderId="1" xfId="0" applyFont="1" applyFill="1" applyBorder="1" applyAlignment="1">
      <alignment wrapText="1"/>
    </xf>
    <xf numFmtId="0" fontId="9" fillId="29" borderId="1" xfId="0" applyFont="1" applyFill="1" applyBorder="1" applyAlignment="1">
      <alignment horizontal="center"/>
    </xf>
    <xf numFmtId="0" fontId="8" fillId="29" borderId="1" xfId="0" applyFont="1" applyFill="1" applyBorder="1"/>
    <xf numFmtId="0" fontId="8" fillId="29" borderId="1" xfId="0" applyFont="1" applyFill="1" applyBorder="1" applyAlignment="1">
      <alignment horizontal="center"/>
    </xf>
    <xf numFmtId="0" fontId="27" fillId="29" borderId="8" xfId="0" applyFont="1" applyFill="1" applyBorder="1"/>
    <xf numFmtId="0" fontId="8" fillId="11" borderId="1" xfId="0" applyFont="1" applyFill="1" applyBorder="1"/>
    <xf numFmtId="0" fontId="10" fillId="11" borderId="20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10" fillId="28" borderId="1" xfId="0" applyFont="1" applyFill="1" applyBorder="1"/>
    <xf numFmtId="0" fontId="9" fillId="3" borderId="3" xfId="0" applyFont="1" applyFill="1" applyBorder="1"/>
    <xf numFmtId="0" fontId="17" fillId="3" borderId="0" xfId="0" applyFont="1" applyFill="1"/>
    <xf numFmtId="0" fontId="2" fillId="3" borderId="0" xfId="0" applyFont="1" applyFill="1"/>
    <xf numFmtId="0" fontId="9" fillId="30" borderId="1" xfId="0" applyFont="1" applyFill="1" applyBorder="1" applyAlignment="1">
      <alignment horizontal="center"/>
    </xf>
    <xf numFmtId="0" fontId="30" fillId="2" borderId="7" xfId="0" applyFont="1" applyFill="1" applyBorder="1"/>
    <xf numFmtId="0" fontId="31" fillId="2" borderId="7" xfId="0" applyFont="1" applyFill="1" applyBorder="1"/>
    <xf numFmtId="0" fontId="31" fillId="2" borderId="21" xfId="0" applyFont="1" applyFill="1" applyBorder="1"/>
    <xf numFmtId="0" fontId="30" fillId="2" borderId="21" xfId="0" applyFont="1" applyFill="1" applyBorder="1"/>
    <xf numFmtId="0" fontId="32" fillId="2" borderId="7" xfId="0" applyFont="1" applyFill="1" applyBorder="1"/>
    <xf numFmtId="0" fontId="19" fillId="2" borderId="13" xfId="0" applyFont="1" applyFill="1" applyBorder="1"/>
    <xf numFmtId="0" fontId="19" fillId="0" borderId="1" xfId="0" applyFont="1" applyBorder="1" applyAlignment="1">
      <alignment horizontal="left" wrapText="1"/>
    </xf>
    <xf numFmtId="0" fontId="19" fillId="2" borderId="1" xfId="0" applyFont="1" applyFill="1" applyBorder="1"/>
    <xf numFmtId="0" fontId="19" fillId="2" borderId="14" xfId="0" applyFont="1" applyFill="1" applyBorder="1"/>
    <xf numFmtId="0" fontId="19" fillId="2" borderId="2" xfId="0" applyFont="1" applyFill="1" applyBorder="1"/>
    <xf numFmtId="0" fontId="19" fillId="2" borderId="6" xfId="0" applyFont="1" applyFill="1" applyBorder="1"/>
    <xf numFmtId="0" fontId="19" fillId="2" borderId="3" xfId="0" applyFont="1" applyFill="1" applyBorder="1"/>
    <xf numFmtId="0" fontId="32" fillId="0" borderId="14" xfId="0" applyFont="1" applyBorder="1"/>
    <xf numFmtId="0" fontId="32" fillId="0" borderId="7" xfId="0" applyFont="1" applyBorder="1"/>
    <xf numFmtId="0" fontId="19" fillId="0" borderId="2" xfId="0" applyFont="1" applyBorder="1" applyAlignment="1">
      <alignment horizontal="left"/>
    </xf>
    <xf numFmtId="0" fontId="19" fillId="0" borderId="7" xfId="0" applyFont="1" applyBorder="1"/>
    <xf numFmtId="0" fontId="17" fillId="0" borderId="7" xfId="0" applyFont="1" applyBorder="1"/>
    <xf numFmtId="0" fontId="33" fillId="0" borderId="1" xfId="0" applyFont="1" applyBorder="1" applyAlignment="1">
      <alignment horizontal="left"/>
    </xf>
    <xf numFmtId="0" fontId="18" fillId="0" borderId="7" xfId="0" applyFont="1" applyBorder="1" applyAlignment="1">
      <alignment wrapText="1"/>
    </xf>
    <xf numFmtId="0" fontId="18" fillId="7" borderId="7" xfId="0" applyFont="1" applyFill="1" applyBorder="1" applyAlignment="1">
      <alignment horizontal="right"/>
    </xf>
    <xf numFmtId="0" fontId="14" fillId="0" borderId="7" xfId="0" applyFont="1" applyBorder="1"/>
    <xf numFmtId="0" fontId="14" fillId="2" borderId="7" xfId="0" applyFont="1" applyFill="1" applyBorder="1"/>
    <xf numFmtId="0" fontId="18" fillId="2" borderId="21" xfId="0" applyFont="1" applyFill="1" applyBorder="1"/>
    <xf numFmtId="0" fontId="19" fillId="2" borderId="0" xfId="0" applyFont="1" applyFill="1"/>
    <xf numFmtId="0" fontId="9" fillId="0" borderId="3" xfId="0" applyFont="1" applyBorder="1" applyAlignment="1">
      <alignment horizontal="center" vertical="center" wrapText="1"/>
    </xf>
    <xf numFmtId="0" fontId="8" fillId="24" borderId="3" xfId="0" applyFont="1" applyFill="1" applyBorder="1"/>
    <xf numFmtId="0" fontId="9" fillId="30" borderId="1" xfId="0" applyFont="1" applyFill="1" applyBorder="1" applyAlignment="1">
      <alignment wrapText="1"/>
    </xf>
    <xf numFmtId="0" fontId="26" fillId="23" borderId="1" xfId="0" applyFont="1" applyFill="1" applyBorder="1" applyAlignment="1">
      <alignment horizontal="left"/>
    </xf>
    <xf numFmtId="0" fontId="9" fillId="30" borderId="1" xfId="0" applyFont="1" applyFill="1" applyBorder="1" applyAlignment="1">
      <alignment horizontal="center" wrapText="1"/>
    </xf>
    <xf numFmtId="0" fontId="26" fillId="23" borderId="9" xfId="0" applyFont="1" applyFill="1" applyBorder="1" applyAlignment="1">
      <alignment horizontal="left"/>
    </xf>
    <xf numFmtId="0" fontId="9" fillId="31" borderId="1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34" fillId="0" borderId="1" xfId="0" applyFont="1" applyBorder="1"/>
    <xf numFmtId="0" fontId="25" fillId="0" borderId="0" xfId="0" applyFont="1"/>
    <xf numFmtId="0" fontId="9" fillId="0" borderId="2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wrapText="1"/>
    </xf>
    <xf numFmtId="0" fontId="10" fillId="0" borderId="7" xfId="0" applyFont="1" applyBorder="1"/>
    <xf numFmtId="0" fontId="9" fillId="5" borderId="1" xfId="0" applyFont="1" applyFill="1" applyBorder="1" applyAlignment="1">
      <alignment horizontal="center" vertical="center" wrapText="1"/>
    </xf>
    <xf numFmtId="0" fontId="10" fillId="5" borderId="8" xfId="0" applyFont="1" applyFill="1" applyBorder="1"/>
    <xf numFmtId="0" fontId="2" fillId="12" borderId="1" xfId="0" applyFont="1" applyFill="1" applyBorder="1" applyAlignment="1">
      <alignment horizontal="left"/>
    </xf>
    <xf numFmtId="0" fontId="9" fillId="0" borderId="9" xfId="0" applyFont="1" applyBorder="1" applyAlignment="1">
      <alignment horizontal="left" vertical="center" wrapText="1"/>
    </xf>
    <xf numFmtId="0" fontId="9" fillId="11" borderId="28" xfId="0" applyFont="1" applyFill="1" applyBorder="1"/>
    <xf numFmtId="0" fontId="9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right"/>
    </xf>
    <xf numFmtId="0" fontId="10" fillId="11" borderId="1" xfId="0" applyFont="1" applyFill="1" applyBorder="1"/>
    <xf numFmtId="0" fontId="10" fillId="0" borderId="0" xfId="0" applyFont="1"/>
    <xf numFmtId="0" fontId="10" fillId="11" borderId="1" xfId="0" applyFont="1" applyFill="1" applyBorder="1" applyAlignment="1">
      <alignment horizontal="left"/>
    </xf>
    <xf numFmtId="0" fontId="9" fillId="11" borderId="7" xfId="0" applyFont="1" applyFill="1" applyBorder="1" applyAlignment="1">
      <alignment horizontal="left"/>
    </xf>
    <xf numFmtId="0" fontId="10" fillId="11" borderId="15" xfId="0" applyFont="1" applyFill="1" applyBorder="1" applyAlignment="1">
      <alignment horizontal="left"/>
    </xf>
    <xf numFmtId="0" fontId="13" fillId="0" borderId="7" xfId="0" applyFont="1" applyBorder="1"/>
    <xf numFmtId="0" fontId="9" fillId="2" borderId="7" xfId="0" applyFont="1" applyFill="1" applyBorder="1"/>
    <xf numFmtId="0" fontId="9" fillId="2" borderId="13" xfId="0" applyFont="1" applyFill="1" applyBorder="1"/>
    <xf numFmtId="0" fontId="9" fillId="2" borderId="22" xfId="0" applyFont="1" applyFill="1" applyBorder="1"/>
    <xf numFmtId="0" fontId="28" fillId="0" borderId="1" xfId="0" applyFont="1" applyBorder="1" applyAlignment="1">
      <alignment wrapText="1"/>
    </xf>
    <xf numFmtId="0" fontId="9" fillId="2" borderId="14" xfId="0" applyFont="1" applyFill="1" applyBorder="1"/>
    <xf numFmtId="0" fontId="9" fillId="2" borderId="7" xfId="0" applyFont="1" applyFill="1" applyBorder="1" applyAlignment="1">
      <alignment wrapText="1"/>
    </xf>
    <xf numFmtId="0" fontId="2" fillId="11" borderId="1" xfId="0" applyFont="1" applyFill="1" applyBorder="1" applyAlignment="1">
      <alignment horizontal="left"/>
    </xf>
    <xf numFmtId="0" fontId="8" fillId="2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9" fillId="0" borderId="29" xfId="0" applyFont="1" applyBorder="1"/>
    <xf numFmtId="0" fontId="17" fillId="0" borderId="29" xfId="0" applyFont="1" applyBorder="1"/>
    <xf numFmtId="0" fontId="12" fillId="0" borderId="1" xfId="0" applyFont="1" applyBorder="1"/>
    <xf numFmtId="0" fontId="19" fillId="2" borderId="13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8" fillId="16" borderId="16" xfId="0" applyFont="1" applyFill="1" applyBorder="1" applyAlignment="1">
      <alignment horizontal="left"/>
    </xf>
    <xf numFmtId="0" fontId="8" fillId="20" borderId="16" xfId="0" applyFont="1" applyFill="1" applyBorder="1" applyAlignment="1">
      <alignment horizontal="left"/>
    </xf>
    <xf numFmtId="0" fontId="2" fillId="11" borderId="0" xfId="0" applyFont="1" applyFill="1"/>
    <xf numFmtId="0" fontId="9" fillId="24" borderId="1" xfId="0" applyFont="1" applyFill="1" applyBorder="1" applyAlignment="1">
      <alignment horizontal="left"/>
    </xf>
    <xf numFmtId="0" fontId="10" fillId="3" borderId="8" xfId="0" applyFont="1" applyFill="1" applyBorder="1"/>
    <xf numFmtId="0" fontId="12" fillId="3" borderId="0" xfId="0" applyFont="1" applyFill="1"/>
    <xf numFmtId="0" fontId="35" fillId="3" borderId="0" xfId="0" applyFont="1" applyFill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14" fillId="14" borderId="1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0" fillId="0" borderId="0" xfId="0" quotePrefix="1"/>
    <xf numFmtId="0" fontId="29" fillId="3" borderId="25" xfId="0" applyFont="1" applyFill="1" applyBorder="1" applyAlignment="1"/>
    <xf numFmtId="0" fontId="29" fillId="3" borderId="26" xfId="0" applyFont="1" applyFill="1" applyBorder="1" applyAlignment="1"/>
    <xf numFmtId="0" fontId="29" fillId="3" borderId="27" xfId="0" applyFont="1" applyFill="1" applyBorder="1" applyAlignment="1"/>
    <xf numFmtId="0" fontId="9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FC04"/>
      <color rgb="FFFF6699"/>
      <color rgb="FFEB6B1D"/>
      <color rgb="FFFCA904"/>
      <color rgb="FFFCC7CE"/>
      <color rgb="FFF0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2009775</xdr:colOff>
      <xdr:row>83</xdr:row>
      <xdr:rowOff>28575</xdr:rowOff>
    </xdr:from>
    <xdr:to>
      <xdr:col>12</xdr:col>
      <xdr:colOff>2130425</xdr:colOff>
      <xdr:row>2917</xdr:row>
      <xdr:rowOff>92072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329B-C904-B74D-AFDF-FE83CE24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9725" y="21240750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9</xdr:col>
      <xdr:colOff>5372100</xdr:colOff>
      <xdr:row>115</xdr:row>
      <xdr:rowOff>95250</xdr:rowOff>
    </xdr:from>
    <xdr:to>
      <xdr:col>15</xdr:col>
      <xdr:colOff>2095501</xdr:colOff>
      <xdr:row>2500</xdr:row>
      <xdr:rowOff>258080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24FA053-9E06-DEEA-7CA3-E6B1CBE6A955}"/>
            </a:ext>
            <a:ext uri="{147F2762-F138-4A5C-976F-8EAC2B608ADB}">
              <a16:predDERef xmlns:a16="http://schemas.microsoft.com/office/drawing/2014/main" pred="{ECB3329B-C904-B74D-AFDF-FE83CE24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55975" y="31603950"/>
          <a:ext cx="13392150" cy="18640425"/>
        </a:xfrm>
        <a:prstGeom prst="rect">
          <a:avLst/>
        </a:prstGeom>
      </xdr:spPr>
    </xdr:pic>
    <xdr:clientData/>
  </xdr:twoCellAnchor>
  <xdr:twoCellAnchor>
    <xdr:from>
      <xdr:col>6</xdr:col>
      <xdr:colOff>130968</xdr:colOff>
      <xdr:row>38</xdr:row>
      <xdr:rowOff>11905</xdr:rowOff>
    </xdr:from>
    <xdr:to>
      <xdr:col>6</xdr:col>
      <xdr:colOff>3393281</xdr:colOff>
      <xdr:row>41</xdr:row>
      <xdr:rowOff>154781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F0D428AA-D3F0-C510-C180-71C344931C73}"/>
            </a:ext>
          </a:extLst>
        </xdr:cNvPr>
        <xdr:cNvSpPr/>
      </xdr:nvSpPr>
      <xdr:spPr>
        <a:xfrm>
          <a:off x="22859999" y="11048999"/>
          <a:ext cx="3262313" cy="103584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2152650</xdr:colOff>
      <xdr:row>295</xdr:row>
      <xdr:rowOff>28576</xdr:rowOff>
    </xdr:from>
    <xdr:to>
      <xdr:col>9</xdr:col>
      <xdr:colOff>449375</xdr:colOff>
      <xdr:row>307</xdr:row>
      <xdr:rowOff>257176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1461E613-CE0F-B4FA-FC07-6DB144ACBA07}"/>
            </a:ext>
            <a:ext uri="{147F2762-F138-4A5C-976F-8EAC2B608ADB}">
              <a16:predDERef xmlns:a16="http://schemas.microsoft.com/office/drawing/2014/main" pred="{F0D428AA-D3F0-C510-C180-71C34493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89200" y="3600451"/>
          <a:ext cx="2868725" cy="37718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Egert" id="{C1D9EE53-1BBB-4D10-86DE-31B89A4A8D9B}" userId="Eric Egert" providerId="None"/>
  <person displayName="Mitch Wolfe" id="{F31065E2-5648-4B0F-BC9C-68BC1F94EE9B}" userId="S::mwolfe@polarisind.com::4de78a91-df46-4fbd-b21e-505a01716702" providerId="AD"/>
  <person displayName="Dan Frederick" id="{EBAB30CA-F154-4D99-B9F6-59828B489AAD}" userId="S::DaFreder@polarisind.com::26f713f3-2330-426e-8716-98e5c15a83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personId="{C1D9EE53-1BBB-4D10-86DE-31B89A4A8D9B}" id="{A850D253-6697-4BD8-983D-A07B16D0E5E6}">
    <text xml:space="preserve">Highlighted changes from Q4 2025 inventory - List of 16 people off to the side that should be assigned to a specific area for counting at 415 so there is minimal wasted time getting people over there to support.
</text>
  </threadedComment>
  <threadedComment ref="B77" dT="2026-02-28T15:49:57.21" personId="{EBAB30CA-F154-4D99-B9F6-59828B489AAD}" id="{41F4DCFB-8FB6-4FA1-87CC-0C8FCD484523}">
    <text>This area will need a few tags for hazardous material in the back corner of the warehouse</text>
  </threadedComment>
  <threadedComment ref="B198" dT="2026-02-28T14:41:44.89" personId="{EBAB30CA-F154-4D99-B9F6-59828B489AAD}" id="{8315BC30-A126-4FD5-A9AC-14565D7675E6}">
    <text xml:space="preserve">5046 was split into two areas (5046/5071)
</text>
  </threadedComment>
  <threadedComment ref="B209" dT="2024-06-06T14:17:22.65" personId="{F31065E2-5648-4B0F-BC9C-68BC1F94EE9B}" id="{105D3790-F6AD-4D8A-A821-B2AEF17F17E3}">
    <text>Engines are now serialized, no tags needed.</text>
  </threadedComment>
  <threadedComment ref="B230" dT="2025-03-08T17:24:19.09" personId="{F31065E2-5648-4B0F-BC9C-68BC1F94EE9B}" id="{D0F2398B-E6C7-4B7F-A08C-44A7F6FD0271}">
    <text>Area 5067 Does Not Exist On Map for 415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EF96-7B31-474A-9D0D-17288412060D}">
  <sheetPr>
    <pageSetUpPr fitToPage="1"/>
  </sheetPr>
  <dimension ref="A1:L290"/>
  <sheetViews>
    <sheetView zoomScale="70" zoomScaleNormal="70" workbookViewId="0">
      <pane ySplit="6" topLeftCell="B261" activePane="bottomLeft" state="frozen"/>
      <selection pane="bottomLeft" activeCell="B7" sqref="B7"/>
    </sheetView>
  </sheetViews>
  <sheetFormatPr defaultColWidth="33.42578125" defaultRowHeight="23.25" customHeight="1"/>
  <cols>
    <col min="1" max="1" width="90.140625" style="1" customWidth="1"/>
    <col min="2" max="2" width="31.140625" style="4" customWidth="1"/>
    <col min="3" max="3" width="90" style="2" customWidth="1"/>
    <col min="4" max="4" width="76.28515625" style="2" customWidth="1"/>
    <col min="5" max="5" width="17" style="4" customWidth="1"/>
    <col min="6" max="6" width="81.42578125" style="3" bestFit="1" customWidth="1"/>
    <col min="7" max="7" width="68.5703125" style="239" customWidth="1"/>
    <col min="8" max="8" width="20.140625" style="78" hidden="1" customWidth="1"/>
    <col min="9" max="9" width="19" style="24" hidden="1" customWidth="1"/>
    <col min="10" max="10" width="82.85546875" style="86" customWidth="1"/>
    <col min="11" max="16384" width="33.42578125" style="24"/>
  </cols>
  <sheetData>
    <row r="1" spans="1:12" ht="23.25" customHeight="1">
      <c r="A1" s="292" t="s">
        <v>0</v>
      </c>
      <c r="B1" s="293"/>
      <c r="C1" s="293"/>
      <c r="D1" s="293"/>
      <c r="E1" s="293"/>
      <c r="F1" s="293"/>
      <c r="G1" s="297" t="s">
        <v>1</v>
      </c>
      <c r="H1" s="296" t="s">
        <v>2</v>
      </c>
      <c r="I1" s="291" t="s">
        <v>3</v>
      </c>
    </row>
    <row r="2" spans="1:12" ht="23.25" customHeight="1">
      <c r="A2" s="294" t="s">
        <v>4</v>
      </c>
      <c r="B2" s="294"/>
      <c r="C2" s="294"/>
      <c r="D2" s="294"/>
      <c r="E2" s="294"/>
      <c r="F2" s="294"/>
      <c r="G2" s="298"/>
      <c r="H2" s="296"/>
      <c r="I2" s="291"/>
    </row>
    <row r="3" spans="1:12" ht="23.25" customHeight="1">
      <c r="A3" s="294" t="s">
        <v>5</v>
      </c>
      <c r="B3" s="294"/>
      <c r="C3" s="294"/>
      <c r="D3" s="294"/>
      <c r="E3" s="294"/>
      <c r="F3" s="294"/>
      <c r="G3" s="298"/>
      <c r="H3" s="296"/>
      <c r="I3" s="291"/>
    </row>
    <row r="4" spans="1:12" ht="23.25" customHeight="1">
      <c r="A4" s="294" t="s">
        <v>6</v>
      </c>
      <c r="B4" s="294"/>
      <c r="C4" s="294"/>
      <c r="D4" s="294"/>
      <c r="E4" s="294"/>
      <c r="F4" s="294"/>
      <c r="G4" s="298"/>
      <c r="H4" s="296"/>
      <c r="I4" s="291"/>
    </row>
    <row r="5" spans="1:12" ht="25.5" customHeight="1" thickBot="1">
      <c r="A5" s="295" t="s">
        <v>7</v>
      </c>
      <c r="B5" s="295"/>
      <c r="C5" s="295"/>
      <c r="D5" s="295"/>
      <c r="E5" s="295"/>
      <c r="F5" s="295"/>
      <c r="G5" s="299"/>
      <c r="H5" s="296"/>
      <c r="I5" s="291"/>
    </row>
    <row r="6" spans="1:12" ht="23.25" customHeight="1" thickBot="1">
      <c r="A6" s="40" t="s">
        <v>8</v>
      </c>
      <c r="B6" s="59" t="s">
        <v>9</v>
      </c>
      <c r="C6" s="60" t="s">
        <v>10</v>
      </c>
      <c r="D6" s="60" t="s">
        <v>11</v>
      </c>
      <c r="E6" s="41" t="s">
        <v>12</v>
      </c>
      <c r="F6" s="65" t="s">
        <v>13</v>
      </c>
      <c r="G6" s="223"/>
    </row>
    <row r="7" spans="1:12" ht="23.25" customHeight="1">
      <c r="A7" s="36" t="s">
        <v>14</v>
      </c>
      <c r="B7" s="37">
        <v>1001</v>
      </c>
      <c r="C7" s="38" t="s">
        <v>15</v>
      </c>
      <c r="D7" s="38" t="s">
        <v>16</v>
      </c>
      <c r="E7" s="39">
        <v>25</v>
      </c>
      <c r="F7" s="62" t="s">
        <v>17</v>
      </c>
      <c r="G7" s="224"/>
      <c r="H7" s="79" t="e">
        <f>_xlfn.XLOOKUP(B7,#REF!,#REF!,0,0)</f>
        <v>#REF!</v>
      </c>
      <c r="I7" s="75" t="e">
        <f>_xlfn.XLOOKUP(B7,#REF!,#REF!,0,0)</f>
        <v>#REF!</v>
      </c>
    </row>
    <row r="8" spans="1:12" ht="23.25" customHeight="1">
      <c r="A8" s="5" t="s">
        <v>18</v>
      </c>
      <c r="B8" s="34">
        <v>1002</v>
      </c>
      <c r="C8" s="6" t="s">
        <v>19</v>
      </c>
      <c r="D8" s="6" t="s">
        <v>20</v>
      </c>
      <c r="E8" s="210">
        <v>25</v>
      </c>
      <c r="F8" s="62" t="s">
        <v>21</v>
      </c>
      <c r="G8" s="110"/>
      <c r="H8" s="79" t="e">
        <f>_xlfn.XLOOKUP(B8,#REF!,#REF!,0,0)</f>
        <v>#REF!</v>
      </c>
      <c r="I8" s="75" t="e">
        <f>_xlfn.XLOOKUP(B8,#REF!,#REF!,0,0)</f>
        <v>#REF!</v>
      </c>
    </row>
    <row r="9" spans="1:12" ht="23.25" customHeight="1">
      <c r="A9" s="5" t="s">
        <v>22</v>
      </c>
      <c r="B9" s="34">
        <v>1003</v>
      </c>
      <c r="C9" s="6" t="s">
        <v>23</v>
      </c>
      <c r="D9" s="6" t="s">
        <v>24</v>
      </c>
      <c r="E9" s="8">
        <v>25</v>
      </c>
      <c r="F9" s="62" t="s">
        <v>25</v>
      </c>
      <c r="G9" s="110"/>
      <c r="H9" s="79" t="e">
        <f>_xlfn.XLOOKUP(B9,#REF!,#REF!,0,0)</f>
        <v>#REF!</v>
      </c>
      <c r="I9" s="75" t="e">
        <f>_xlfn.XLOOKUP(B9,#REF!,#REF!,0,0)</f>
        <v>#REF!</v>
      </c>
    </row>
    <row r="10" spans="1:12" ht="23.25" customHeight="1">
      <c r="A10" s="5" t="s">
        <v>26</v>
      </c>
      <c r="B10" s="34">
        <v>1004</v>
      </c>
      <c r="C10" s="6" t="s">
        <v>27</v>
      </c>
      <c r="D10" s="6" t="s">
        <v>28</v>
      </c>
      <c r="E10" s="8">
        <v>25</v>
      </c>
      <c r="F10" s="62" t="s">
        <v>29</v>
      </c>
      <c r="G10" s="110"/>
      <c r="H10" s="79" t="e">
        <f>_xlfn.XLOOKUP(B10,#REF!,#REF!,0,0)</f>
        <v>#REF!</v>
      </c>
      <c r="I10" s="75" t="e">
        <f>_xlfn.XLOOKUP(B10,#REF!,#REF!,0,0)</f>
        <v>#REF!</v>
      </c>
      <c r="J10" s="213"/>
      <c r="K10" s="214"/>
      <c r="L10" s="214"/>
    </row>
    <row r="11" spans="1:12" ht="23.25" customHeight="1">
      <c r="A11" s="5" t="s">
        <v>30</v>
      </c>
      <c r="B11" s="34">
        <v>1006</v>
      </c>
      <c r="C11" s="6" t="s">
        <v>31</v>
      </c>
      <c r="D11" s="6" t="s">
        <v>32</v>
      </c>
      <c r="E11" s="8">
        <v>25</v>
      </c>
      <c r="F11" s="62" t="s">
        <v>25</v>
      </c>
      <c r="G11" s="110"/>
      <c r="H11" s="79" t="e">
        <f>_xlfn.XLOOKUP(B11,#REF!,#REF!,0,0)</f>
        <v>#REF!</v>
      </c>
      <c r="I11" s="75" t="e">
        <f>_xlfn.XLOOKUP(B11,#REF!,#REF!,0,0)</f>
        <v>#REF!</v>
      </c>
      <c r="J11" s="213" t="s">
        <v>33</v>
      </c>
      <c r="K11" s="214"/>
      <c r="L11" s="214"/>
    </row>
    <row r="12" spans="1:12" ht="23.25" customHeight="1">
      <c r="A12" s="10" t="s">
        <v>34</v>
      </c>
      <c r="B12" s="34">
        <v>1007</v>
      </c>
      <c r="C12" s="6" t="s">
        <v>35</v>
      </c>
      <c r="D12" s="6" t="s">
        <v>36</v>
      </c>
      <c r="E12" s="8">
        <v>25</v>
      </c>
      <c r="F12" s="62" t="s">
        <v>37</v>
      </c>
      <c r="G12" s="110"/>
      <c r="H12" s="79" t="e">
        <f>_xlfn.XLOOKUP(B12,#REF!,#REF!,0,0)</f>
        <v>#REF!</v>
      </c>
      <c r="I12" s="75" t="e">
        <f>_xlfn.XLOOKUP(B12,#REF!,#REF!,0,0)</f>
        <v>#REF!</v>
      </c>
      <c r="J12" s="301" t="s">
        <v>38</v>
      </c>
      <c r="K12" s="302"/>
      <c r="L12" s="303"/>
    </row>
    <row r="13" spans="1:12" ht="23.25" customHeight="1">
      <c r="A13" s="10" t="s">
        <v>39</v>
      </c>
      <c r="B13" s="34">
        <v>1008</v>
      </c>
      <c r="C13" s="6" t="s">
        <v>40</v>
      </c>
      <c r="D13" s="6" t="s">
        <v>41</v>
      </c>
      <c r="E13" s="8">
        <v>25</v>
      </c>
      <c r="F13" s="62" t="s">
        <v>21</v>
      </c>
      <c r="G13" s="110"/>
      <c r="H13" s="79" t="e">
        <f>_xlfn.XLOOKUP(B13,#REF!,#REF!,0,0)</f>
        <v>#REF!</v>
      </c>
      <c r="I13" s="75" t="e">
        <f>_xlfn.XLOOKUP(B13,#REF!,#REF!,0,0)</f>
        <v>#REF!</v>
      </c>
      <c r="J13" s="301" t="s">
        <v>42</v>
      </c>
      <c r="K13" s="302"/>
      <c r="L13" s="303"/>
    </row>
    <row r="14" spans="1:12" ht="23.25" customHeight="1">
      <c r="A14" s="5" t="s">
        <v>43</v>
      </c>
      <c r="B14" s="34">
        <v>1009</v>
      </c>
      <c r="C14" s="6" t="s">
        <v>44</v>
      </c>
      <c r="D14" s="9" t="s">
        <v>45</v>
      </c>
      <c r="E14" s="8">
        <v>25</v>
      </c>
      <c r="F14" s="62" t="s">
        <v>46</v>
      </c>
      <c r="G14" s="110"/>
      <c r="H14" s="79" t="e">
        <f>_xlfn.XLOOKUP(B14,#REF!,#REF!,0,0)</f>
        <v>#REF!</v>
      </c>
      <c r="I14" s="75" t="e">
        <f>_xlfn.XLOOKUP(B14,#REF!,#REF!,0,0)</f>
        <v>#REF!</v>
      </c>
      <c r="J14" s="301" t="s">
        <v>47</v>
      </c>
      <c r="K14" s="302"/>
      <c r="L14" s="303"/>
    </row>
    <row r="15" spans="1:12" ht="23.25" customHeight="1">
      <c r="A15" s="5" t="s">
        <v>48</v>
      </c>
      <c r="B15" s="34">
        <v>1010</v>
      </c>
      <c r="C15" s="6" t="s">
        <v>49</v>
      </c>
      <c r="D15" s="6" t="s">
        <v>50</v>
      </c>
      <c r="E15" s="8">
        <v>25</v>
      </c>
      <c r="F15" s="62" t="s">
        <v>46</v>
      </c>
      <c r="G15" s="110"/>
      <c r="H15" s="79" t="e">
        <f>_xlfn.XLOOKUP(B15,#REF!,#REF!,0,0)</f>
        <v>#REF!</v>
      </c>
      <c r="I15" s="80" t="e">
        <f>_xlfn.XLOOKUP(B15,#REF!,#REF!,0,0)</f>
        <v>#REF!</v>
      </c>
      <c r="J15" s="301" t="s">
        <v>51</v>
      </c>
      <c r="K15" s="302"/>
      <c r="L15" s="303"/>
    </row>
    <row r="16" spans="1:12" ht="23.25" customHeight="1">
      <c r="A16" s="5" t="s">
        <v>52</v>
      </c>
      <c r="B16" s="34">
        <v>1011</v>
      </c>
      <c r="C16" s="6" t="s">
        <v>53</v>
      </c>
      <c r="D16" s="113" t="s">
        <v>54</v>
      </c>
      <c r="E16" s="8">
        <v>25</v>
      </c>
      <c r="F16" s="62" t="s">
        <v>55</v>
      </c>
      <c r="G16" s="110"/>
      <c r="H16" s="79" t="e">
        <f>_xlfn.XLOOKUP(B16,#REF!,#REF!,0,0)</f>
        <v>#REF!</v>
      </c>
      <c r="I16" s="75" t="e">
        <f>_xlfn.XLOOKUP(B16,#REF!,#REF!,0,0)</f>
        <v>#REF!</v>
      </c>
      <c r="J16" s="301" t="s">
        <v>56</v>
      </c>
      <c r="K16" s="302"/>
      <c r="L16" s="303"/>
    </row>
    <row r="17" spans="1:12" ht="23.25" customHeight="1">
      <c r="A17" s="5" t="s">
        <v>57</v>
      </c>
      <c r="B17" s="34">
        <v>1012</v>
      </c>
      <c r="C17" s="6" t="s">
        <v>58</v>
      </c>
      <c r="D17" s="6" t="s">
        <v>59</v>
      </c>
      <c r="E17" s="8">
        <v>25</v>
      </c>
      <c r="F17" s="62" t="s">
        <v>60</v>
      </c>
      <c r="G17" s="110"/>
      <c r="H17" s="79" t="e">
        <f>_xlfn.XLOOKUP(B17,#REF!,#REF!,0,0)</f>
        <v>#REF!</v>
      </c>
      <c r="I17" s="75" t="e">
        <f>_xlfn.XLOOKUP(B17,#REF!,#REF!,0,0)</f>
        <v>#REF!</v>
      </c>
      <c r="J17" s="301" t="s">
        <v>61</v>
      </c>
      <c r="K17" s="302"/>
      <c r="L17" s="303"/>
    </row>
    <row r="18" spans="1:12" ht="23.25" customHeight="1">
      <c r="A18" s="5" t="s">
        <v>62</v>
      </c>
      <c r="B18" s="34">
        <v>1013</v>
      </c>
      <c r="C18" s="6" t="s">
        <v>63</v>
      </c>
      <c r="D18" s="6" t="s">
        <v>64</v>
      </c>
      <c r="E18" s="8">
        <v>25</v>
      </c>
      <c r="F18" s="62" t="s">
        <v>60</v>
      </c>
      <c r="G18" s="110"/>
      <c r="H18" s="79" t="e">
        <f>_xlfn.XLOOKUP(B18,#REF!,#REF!,0,0)</f>
        <v>#REF!</v>
      </c>
      <c r="I18" s="75" t="e">
        <f>_xlfn.XLOOKUP(B18,#REF!,#REF!,0,0)</f>
        <v>#REF!</v>
      </c>
      <c r="J18" s="301" t="s">
        <v>65</v>
      </c>
      <c r="K18" s="302"/>
      <c r="L18" s="303"/>
    </row>
    <row r="19" spans="1:12" ht="23.25" customHeight="1">
      <c r="A19" s="5" t="s">
        <v>66</v>
      </c>
      <c r="B19" s="34">
        <v>1014</v>
      </c>
      <c r="C19" s="6" t="s">
        <v>67</v>
      </c>
      <c r="D19" s="6" t="s">
        <v>68</v>
      </c>
      <c r="E19" s="8">
        <v>25</v>
      </c>
      <c r="F19" s="62" t="s">
        <v>46</v>
      </c>
      <c r="G19" s="110"/>
      <c r="H19" s="79" t="e">
        <f>_xlfn.XLOOKUP(B19,#REF!,#REF!,0,0)</f>
        <v>#REF!</v>
      </c>
      <c r="I19" s="75" t="e">
        <f>_xlfn.XLOOKUP(B19,#REF!,#REF!,0,0)</f>
        <v>#REF!</v>
      </c>
      <c r="J19" s="301" t="s">
        <v>69</v>
      </c>
      <c r="K19" s="302"/>
      <c r="L19" s="303"/>
    </row>
    <row r="20" spans="1:12" ht="23.25" customHeight="1">
      <c r="A20" s="5" t="s">
        <v>70</v>
      </c>
      <c r="B20" s="34">
        <v>1015</v>
      </c>
      <c r="C20" s="304" t="s">
        <v>71</v>
      </c>
      <c r="D20" s="6" t="s">
        <v>72</v>
      </c>
      <c r="E20" s="8">
        <v>25</v>
      </c>
      <c r="F20" s="62" t="s">
        <v>29</v>
      </c>
      <c r="G20" s="110"/>
      <c r="H20" s="79" t="e">
        <f>_xlfn.XLOOKUP(B20,#REF!,#REF!,0,0)</f>
        <v>#REF!</v>
      </c>
      <c r="I20" s="75" t="e">
        <f>_xlfn.XLOOKUP(B20,#REF!,#REF!,0,0)</f>
        <v>#REF!</v>
      </c>
      <c r="J20" s="301" t="s">
        <v>73</v>
      </c>
      <c r="K20" s="302"/>
      <c r="L20" s="303"/>
    </row>
    <row r="21" spans="1:12" ht="23.25" customHeight="1">
      <c r="A21" s="5" t="s">
        <v>74</v>
      </c>
      <c r="B21" s="34">
        <v>1016</v>
      </c>
      <c r="C21" s="6" t="s">
        <v>75</v>
      </c>
      <c r="D21" s="6" t="s">
        <v>76</v>
      </c>
      <c r="E21" s="8">
        <v>25</v>
      </c>
      <c r="F21" s="62" t="s">
        <v>29</v>
      </c>
      <c r="G21" s="110"/>
      <c r="H21" s="79" t="e">
        <f>_xlfn.XLOOKUP(B21,#REF!,#REF!,0,0)</f>
        <v>#REF!</v>
      </c>
      <c r="I21" s="75" t="e">
        <f>_xlfn.XLOOKUP(B21,#REF!,#REF!,0,0)</f>
        <v>#REF!</v>
      </c>
      <c r="J21" s="301" t="s">
        <v>77</v>
      </c>
      <c r="K21" s="302"/>
      <c r="L21" s="303"/>
    </row>
    <row r="22" spans="1:12" ht="23.25" customHeight="1">
      <c r="A22" s="5" t="s">
        <v>78</v>
      </c>
      <c r="B22" s="34">
        <v>1017</v>
      </c>
      <c r="C22" s="6" t="s">
        <v>79</v>
      </c>
      <c r="D22" s="6" t="s">
        <v>80</v>
      </c>
      <c r="E22" s="8">
        <v>25</v>
      </c>
      <c r="F22" s="62" t="s">
        <v>17</v>
      </c>
      <c r="G22" s="110"/>
      <c r="H22" s="79" t="e">
        <f>_xlfn.XLOOKUP(B22,#REF!,#REF!,0,0)</f>
        <v>#REF!</v>
      </c>
      <c r="I22" s="75" t="e">
        <f>_xlfn.XLOOKUP(B22,#REF!,#REF!,0,0)</f>
        <v>#REF!</v>
      </c>
      <c r="J22" s="301" t="s">
        <v>81</v>
      </c>
      <c r="K22" s="302"/>
      <c r="L22" s="303"/>
    </row>
    <row r="23" spans="1:12" ht="23.25" customHeight="1">
      <c r="A23" s="20" t="s">
        <v>82</v>
      </c>
      <c r="B23" s="34">
        <v>1018</v>
      </c>
      <c r="C23" s="6" t="s">
        <v>83</v>
      </c>
      <c r="D23" s="6" t="s">
        <v>83</v>
      </c>
      <c r="E23" s="8">
        <v>25</v>
      </c>
      <c r="F23" s="62" t="s">
        <v>84</v>
      </c>
      <c r="G23" s="110"/>
      <c r="H23" s="79" t="e">
        <f>_xlfn.XLOOKUP(B23,#REF!,#REF!,0,0)</f>
        <v>#REF!</v>
      </c>
      <c r="I23" s="75" t="e">
        <f>_xlfn.XLOOKUP(B23,#REF!,#REF!,0,0)</f>
        <v>#REF!</v>
      </c>
      <c r="J23" s="301" t="s">
        <v>85</v>
      </c>
      <c r="K23" s="302"/>
      <c r="L23" s="303"/>
    </row>
    <row r="24" spans="1:12" ht="23.25" customHeight="1">
      <c r="A24" s="5" t="s">
        <v>86</v>
      </c>
      <c r="B24" s="34">
        <v>1019</v>
      </c>
      <c r="C24" s="6" t="s">
        <v>87</v>
      </c>
      <c r="D24" s="6" t="s">
        <v>88</v>
      </c>
      <c r="E24" s="8">
        <v>25</v>
      </c>
      <c r="F24" s="63" t="s">
        <v>89</v>
      </c>
      <c r="G24" s="110"/>
      <c r="H24" s="79" t="e">
        <f>_xlfn.XLOOKUP(B24,#REF!,#REF!,0,0)</f>
        <v>#REF!</v>
      </c>
      <c r="I24" s="75" t="e">
        <f>_xlfn.XLOOKUP(B24,#REF!,#REF!,0,0)</f>
        <v>#REF!</v>
      </c>
      <c r="J24" s="301" t="s">
        <v>90</v>
      </c>
      <c r="K24" s="302"/>
      <c r="L24" s="303"/>
    </row>
    <row r="25" spans="1:12" ht="23.25" customHeight="1">
      <c r="A25" s="5" t="s">
        <v>91</v>
      </c>
      <c r="B25" s="34">
        <v>1020</v>
      </c>
      <c r="C25" s="6" t="s">
        <v>92</v>
      </c>
      <c r="D25" s="6" t="s">
        <v>93</v>
      </c>
      <c r="E25" s="8">
        <v>25</v>
      </c>
      <c r="F25" s="63" t="s">
        <v>25</v>
      </c>
      <c r="G25" s="110"/>
      <c r="H25" s="79" t="e">
        <f>_xlfn.XLOOKUP(B25,#REF!,#REF!,0,0)</f>
        <v>#REF!</v>
      </c>
      <c r="I25" s="75" t="e">
        <f>_xlfn.XLOOKUP(B25,#REF!,#REF!,0,0)</f>
        <v>#REF!</v>
      </c>
      <c r="J25" s="301" t="s">
        <v>94</v>
      </c>
      <c r="K25" s="302"/>
      <c r="L25" s="303"/>
    </row>
    <row r="26" spans="1:12" ht="23.25" customHeight="1">
      <c r="A26" s="5" t="s">
        <v>95</v>
      </c>
      <c r="B26" s="34">
        <v>1021</v>
      </c>
      <c r="C26" s="6" t="s">
        <v>96</v>
      </c>
      <c r="D26" s="113" t="s">
        <v>97</v>
      </c>
      <c r="E26" s="15">
        <v>25</v>
      </c>
      <c r="F26" s="62" t="s">
        <v>98</v>
      </c>
      <c r="G26" s="110"/>
      <c r="H26" s="79" t="e">
        <f>_xlfn.XLOOKUP(B26,#REF!,#REF!,0,0)</f>
        <v>#REF!</v>
      </c>
      <c r="I26" s="75" t="e">
        <f>_xlfn.XLOOKUP(B26,#REF!,#REF!,0,0)</f>
        <v>#REF!</v>
      </c>
      <c r="J26" s="301" t="s">
        <v>99</v>
      </c>
      <c r="K26" s="302"/>
      <c r="L26" s="303"/>
    </row>
    <row r="27" spans="1:12" ht="23.25" customHeight="1">
      <c r="A27" s="5" t="s">
        <v>100</v>
      </c>
      <c r="B27" s="34">
        <v>1022</v>
      </c>
      <c r="C27" s="6" t="s">
        <v>101</v>
      </c>
      <c r="D27" s="6" t="s">
        <v>102</v>
      </c>
      <c r="E27" s="246">
        <v>75</v>
      </c>
      <c r="F27" s="62" t="s">
        <v>98</v>
      </c>
      <c r="G27" s="110"/>
      <c r="H27" s="79" t="e">
        <f>_xlfn.XLOOKUP(B27,#REF!,#REF!,0,0)</f>
        <v>#REF!</v>
      </c>
      <c r="I27" s="75" t="e">
        <f>_xlfn.XLOOKUP(B27,#REF!,#REF!,0,0)</f>
        <v>#REF!</v>
      </c>
      <c r="J27" s="301" t="s">
        <v>103</v>
      </c>
      <c r="K27" s="302"/>
      <c r="L27" s="303"/>
    </row>
    <row r="28" spans="1:12" ht="23.25" customHeight="1">
      <c r="A28" s="5" t="s">
        <v>104</v>
      </c>
      <c r="B28" s="34">
        <v>1023</v>
      </c>
      <c r="C28" s="6" t="s">
        <v>105</v>
      </c>
      <c r="D28" s="6" t="s">
        <v>106</v>
      </c>
      <c r="E28" s="8">
        <v>25</v>
      </c>
      <c r="F28" s="62" t="s">
        <v>37</v>
      </c>
      <c r="G28" s="110"/>
      <c r="H28" s="79" t="e">
        <f>_xlfn.XLOOKUP(B28,#REF!,#REF!,0,0)</f>
        <v>#REF!</v>
      </c>
      <c r="I28" s="75" t="e">
        <f>_xlfn.XLOOKUP(B28,#REF!,#REF!,0,0)</f>
        <v>#REF!</v>
      </c>
      <c r="J28" s="213"/>
      <c r="K28" s="214"/>
      <c r="L28" s="214"/>
    </row>
    <row r="29" spans="1:12" ht="23.25" customHeight="1">
      <c r="A29" s="5" t="s">
        <v>107</v>
      </c>
      <c r="B29" s="34">
        <v>1024</v>
      </c>
      <c r="C29" s="6" t="s">
        <v>108</v>
      </c>
      <c r="D29" s="6" t="s">
        <v>109</v>
      </c>
      <c r="E29" s="8">
        <v>25</v>
      </c>
      <c r="F29" s="63" t="s">
        <v>55</v>
      </c>
      <c r="G29" s="110"/>
      <c r="H29" s="79" t="e">
        <f>_xlfn.XLOOKUP(B29,#REF!,#REF!,0,0)</f>
        <v>#REF!</v>
      </c>
      <c r="I29" s="75" t="e">
        <f>_xlfn.XLOOKUP(B29,#REF!,#REF!,0,0)</f>
        <v>#REF!</v>
      </c>
    </row>
    <row r="30" spans="1:12" ht="23.25" customHeight="1">
      <c r="A30" s="5" t="s">
        <v>110</v>
      </c>
      <c r="B30" s="34">
        <v>1025</v>
      </c>
      <c r="C30" s="6" t="s">
        <v>111</v>
      </c>
      <c r="D30" s="113" t="s">
        <v>112</v>
      </c>
      <c r="E30" s="8">
        <v>25</v>
      </c>
      <c r="F30" s="63" t="s">
        <v>113</v>
      </c>
      <c r="G30" s="110"/>
      <c r="H30" s="79" t="e">
        <f>_xlfn.XLOOKUP(B30,#REF!,#REF!,0,0)</f>
        <v>#REF!</v>
      </c>
      <c r="I30" s="75" t="e">
        <f>_xlfn.XLOOKUP(B30,#REF!,#REF!,0,0)</f>
        <v>#REF!</v>
      </c>
    </row>
    <row r="31" spans="1:12" ht="23.25" customHeight="1">
      <c r="A31" s="5" t="s">
        <v>114</v>
      </c>
      <c r="B31" s="34">
        <v>1026</v>
      </c>
      <c r="C31" s="6" t="s">
        <v>115</v>
      </c>
      <c r="D31" s="6" t="s">
        <v>116</v>
      </c>
      <c r="E31" s="8">
        <v>25</v>
      </c>
      <c r="F31" s="63" t="s">
        <v>37</v>
      </c>
      <c r="G31" s="110"/>
      <c r="H31" s="79" t="e">
        <f>_xlfn.XLOOKUP(B31,#REF!,#REF!,0,0)</f>
        <v>#REF!</v>
      </c>
      <c r="I31" s="75" t="e">
        <f>_xlfn.XLOOKUP(B31,#REF!,#REF!,0,0)</f>
        <v>#REF!</v>
      </c>
    </row>
    <row r="32" spans="1:12" ht="23.25" customHeight="1">
      <c r="A32" s="10" t="s">
        <v>117</v>
      </c>
      <c r="B32" s="18">
        <v>1027</v>
      </c>
      <c r="C32" s="6" t="s">
        <v>118</v>
      </c>
      <c r="D32" s="6" t="s">
        <v>119</v>
      </c>
      <c r="E32" s="8">
        <v>25</v>
      </c>
      <c r="F32" s="62" t="s">
        <v>60</v>
      </c>
      <c r="G32" s="110" t="s">
        <v>120</v>
      </c>
      <c r="H32" s="79" t="e">
        <f>_xlfn.XLOOKUP(B32,#REF!,#REF!,0,0)</f>
        <v>#REF!</v>
      </c>
      <c r="I32" s="75" t="e">
        <f>_xlfn.XLOOKUP(B32,#REF!,#REF!,0,0)</f>
        <v>#REF!</v>
      </c>
    </row>
    <row r="33" spans="1:10" ht="23.25" customHeight="1">
      <c r="A33" s="10" t="s">
        <v>121</v>
      </c>
      <c r="B33" s="18">
        <v>1028</v>
      </c>
      <c r="C33" s="304" t="s">
        <v>122</v>
      </c>
      <c r="D33" s="6" t="s">
        <v>123</v>
      </c>
      <c r="E33" s="8">
        <v>25</v>
      </c>
      <c r="F33" s="62" t="s">
        <v>89</v>
      </c>
      <c r="G33" s="110"/>
      <c r="H33" s="79" t="e">
        <f>_xlfn.XLOOKUP(B33,#REF!,#REF!,0,0)</f>
        <v>#REF!</v>
      </c>
      <c r="I33" s="75" t="e">
        <f>_xlfn.XLOOKUP(B33,#REF!,#REF!,0,0)</f>
        <v>#REF!</v>
      </c>
    </row>
    <row r="34" spans="1:10" ht="23.25" customHeight="1">
      <c r="A34" s="10" t="s">
        <v>124</v>
      </c>
      <c r="B34" s="18">
        <v>1029</v>
      </c>
      <c r="C34" s="6" t="s">
        <v>125</v>
      </c>
      <c r="D34" s="6" t="s">
        <v>126</v>
      </c>
      <c r="E34" s="8">
        <v>25</v>
      </c>
      <c r="F34" s="62" t="s">
        <v>113</v>
      </c>
      <c r="G34" s="110"/>
      <c r="H34" s="79" t="e">
        <f>_xlfn.XLOOKUP(B34,#REF!,#REF!,0,0)</f>
        <v>#REF!</v>
      </c>
      <c r="I34" s="75" t="e">
        <f>_xlfn.XLOOKUP(B34,#REF!,#REF!,0,0)</f>
        <v>#REF!</v>
      </c>
    </row>
    <row r="35" spans="1:10" ht="23.25" customHeight="1">
      <c r="A35" s="10" t="s">
        <v>127</v>
      </c>
      <c r="B35" s="18">
        <v>1030</v>
      </c>
      <c r="C35" s="6" t="s">
        <v>128</v>
      </c>
      <c r="D35" s="6" t="s">
        <v>129</v>
      </c>
      <c r="E35" s="15">
        <v>25</v>
      </c>
      <c r="F35" s="62" t="s">
        <v>21</v>
      </c>
      <c r="G35" s="221"/>
      <c r="H35" s="79"/>
      <c r="I35" s="75"/>
      <c r="J35" s="24"/>
    </row>
    <row r="36" spans="1:10" ht="23.25" customHeight="1">
      <c r="A36" s="10" t="s">
        <v>130</v>
      </c>
      <c r="B36" s="18">
        <v>1031</v>
      </c>
      <c r="C36" s="6" t="s">
        <v>131</v>
      </c>
      <c r="D36" s="6" t="s">
        <v>132</v>
      </c>
      <c r="E36" s="8">
        <v>25</v>
      </c>
      <c r="F36" s="63" t="s">
        <v>113</v>
      </c>
      <c r="G36" s="221"/>
      <c r="H36" s="79" t="e">
        <f>_xlfn.XLOOKUP(B36,#REF!,#REF!,0,0)</f>
        <v>#REF!</v>
      </c>
      <c r="I36" s="75" t="e">
        <f>_xlfn.XLOOKUP(B36,#REF!,#REF!,0,0)</f>
        <v>#REF!</v>
      </c>
      <c r="J36" s="24"/>
    </row>
    <row r="37" spans="1:10" ht="23.25" customHeight="1">
      <c r="A37" s="116" t="s">
        <v>133</v>
      </c>
      <c r="B37" s="117"/>
      <c r="C37" s="115" t="s">
        <v>134</v>
      </c>
      <c r="D37" s="31"/>
      <c r="E37" s="33"/>
      <c r="F37" s="64"/>
      <c r="G37" s="225"/>
      <c r="H37" s="181"/>
      <c r="I37" s="75"/>
      <c r="J37" s="24"/>
    </row>
    <row r="38" spans="1:10" ht="23.25" customHeight="1">
      <c r="A38" s="89" t="s">
        <v>135</v>
      </c>
      <c r="B38" s="90"/>
      <c r="C38" s="91" t="s">
        <v>136</v>
      </c>
      <c r="D38" s="82" t="s">
        <v>137</v>
      </c>
      <c r="E38" s="93"/>
      <c r="F38" s="94"/>
      <c r="G38" s="226"/>
      <c r="H38" s="181"/>
      <c r="I38" s="75"/>
      <c r="J38" s="24"/>
    </row>
    <row r="39" spans="1:10" ht="23.25" customHeight="1">
      <c r="A39" s="89" t="s">
        <v>135</v>
      </c>
      <c r="B39" s="95"/>
      <c r="C39" s="82" t="s">
        <v>138</v>
      </c>
      <c r="D39" s="82" t="s">
        <v>139</v>
      </c>
      <c r="E39" s="96"/>
      <c r="F39" s="85"/>
      <c r="G39" s="226"/>
      <c r="H39" s="181"/>
      <c r="I39" s="75"/>
      <c r="J39" s="24"/>
    </row>
    <row r="40" spans="1:10" ht="23.25" customHeight="1">
      <c r="A40" s="89" t="s">
        <v>135</v>
      </c>
      <c r="B40" s="95"/>
      <c r="C40" s="82"/>
      <c r="D40" s="92"/>
      <c r="E40" s="96"/>
      <c r="F40" s="85"/>
      <c r="G40" s="226"/>
      <c r="H40" s="181"/>
      <c r="I40" s="75"/>
      <c r="J40" s="24"/>
    </row>
    <row r="41" spans="1:10" ht="23.25" customHeight="1">
      <c r="A41" s="89" t="s">
        <v>135</v>
      </c>
      <c r="B41" s="95"/>
      <c r="C41" s="257"/>
      <c r="D41" s="114"/>
      <c r="E41" s="96"/>
      <c r="F41" s="85"/>
      <c r="G41" s="226"/>
      <c r="H41" s="181"/>
      <c r="I41" s="75"/>
      <c r="J41" s="24"/>
    </row>
    <row r="42" spans="1:10" ht="23.25" customHeight="1" thickBot="1">
      <c r="A42" s="97" t="s">
        <v>135</v>
      </c>
      <c r="B42" s="95"/>
      <c r="C42" s="82"/>
      <c r="D42" s="91"/>
      <c r="E42" s="96"/>
      <c r="F42" s="85"/>
      <c r="G42" s="227"/>
      <c r="H42" s="181"/>
      <c r="I42" s="75"/>
      <c r="J42" s="24"/>
    </row>
    <row r="43" spans="1:10" ht="23.25" customHeight="1" thickBot="1">
      <c r="A43" s="40" t="s">
        <v>140</v>
      </c>
      <c r="B43" s="43" t="s">
        <v>9</v>
      </c>
      <c r="C43" s="44" t="s">
        <v>10</v>
      </c>
      <c r="D43" s="44" t="s">
        <v>11</v>
      </c>
      <c r="E43" s="45" t="s">
        <v>12</v>
      </c>
      <c r="F43" s="191" t="s">
        <v>13</v>
      </c>
      <c r="G43" s="224"/>
      <c r="H43" s="79"/>
      <c r="I43" s="75"/>
      <c r="J43" s="24"/>
    </row>
    <row r="44" spans="1:10" ht="23.25" customHeight="1">
      <c r="A44" s="36" t="s">
        <v>141</v>
      </c>
      <c r="B44" s="37">
        <v>2001</v>
      </c>
      <c r="C44" s="38" t="s">
        <v>142</v>
      </c>
      <c r="D44" s="38" t="s">
        <v>143</v>
      </c>
      <c r="E44" s="39">
        <v>25</v>
      </c>
      <c r="F44" s="61" t="s">
        <v>144</v>
      </c>
      <c r="G44" s="110"/>
      <c r="H44" s="79" t="e">
        <f>_xlfn.XLOOKUP(B44,#REF!,#REF!,0,0)</f>
        <v>#REF!</v>
      </c>
      <c r="I44" s="75" t="e">
        <f>_xlfn.XLOOKUP(B44,#REF!,#REF!,0,0)</f>
        <v>#REF!</v>
      </c>
      <c r="J44" s="24"/>
    </row>
    <row r="45" spans="1:10" s="25" customFormat="1" ht="23.25" customHeight="1">
      <c r="A45" s="5" t="s">
        <v>141</v>
      </c>
      <c r="B45" s="34">
        <v>2002</v>
      </c>
      <c r="C45" s="6" t="s">
        <v>145</v>
      </c>
      <c r="D45" s="9" t="s">
        <v>146</v>
      </c>
      <c r="E45" s="8">
        <v>25</v>
      </c>
      <c r="F45" s="62" t="s">
        <v>147</v>
      </c>
      <c r="G45" s="216"/>
      <c r="H45" s="79" t="e">
        <f>_xlfn.XLOOKUP(B45,#REF!,#REF!,0,0)</f>
        <v>#REF!</v>
      </c>
      <c r="I45" s="75" t="e">
        <f>_xlfn.XLOOKUP(B45,#REF!,#REF!,0,0)</f>
        <v>#REF!</v>
      </c>
    </row>
    <row r="46" spans="1:10" s="25" customFormat="1" ht="23.25" customHeight="1">
      <c r="A46" s="5" t="s">
        <v>141</v>
      </c>
      <c r="B46" s="34">
        <v>2003</v>
      </c>
      <c r="C46" s="6" t="s">
        <v>148</v>
      </c>
      <c r="D46" s="6" t="s">
        <v>149</v>
      </c>
      <c r="E46" s="8">
        <v>25</v>
      </c>
      <c r="F46" s="62" t="s">
        <v>150</v>
      </c>
      <c r="G46" s="217"/>
      <c r="H46" s="79" t="e">
        <f>_xlfn.XLOOKUP(B46,#REF!,#REF!,0,0)</f>
        <v>#REF!</v>
      </c>
      <c r="I46" s="75" t="e">
        <f>_xlfn.XLOOKUP(B46,#REF!,#REF!,0,0)</f>
        <v>#REF!</v>
      </c>
    </row>
    <row r="47" spans="1:10" s="25" customFormat="1" ht="23.25" customHeight="1">
      <c r="A47" s="5" t="s">
        <v>141</v>
      </c>
      <c r="B47" s="34">
        <v>2004</v>
      </c>
      <c r="C47" s="6" t="s">
        <v>151</v>
      </c>
      <c r="D47" s="6" t="s">
        <v>152</v>
      </c>
      <c r="E47" s="8">
        <v>25</v>
      </c>
      <c r="F47" s="248" t="s">
        <v>153</v>
      </c>
      <c r="G47" s="218"/>
      <c r="H47" s="79" t="e">
        <f>_xlfn.XLOOKUP(B47,#REF!,#REF!,0,0)</f>
        <v>#REF!</v>
      </c>
      <c r="I47" s="75" t="e">
        <f>_xlfn.XLOOKUP(B47,#REF!,#REF!,0,0)</f>
        <v>#REF!</v>
      </c>
    </row>
    <row r="48" spans="1:10" s="26" customFormat="1" ht="23.25" customHeight="1">
      <c r="A48" s="5" t="s">
        <v>141</v>
      </c>
      <c r="B48" s="34">
        <v>2005</v>
      </c>
      <c r="C48" s="6" t="s">
        <v>154</v>
      </c>
      <c r="D48" s="9" t="s">
        <v>155</v>
      </c>
      <c r="E48" s="8">
        <v>25</v>
      </c>
      <c r="F48" s="248" t="s">
        <v>147</v>
      </c>
      <c r="G48" s="219"/>
      <c r="H48" s="79" t="e">
        <f>_xlfn.XLOOKUP(B48,#REF!,#REF!,0,0)</f>
        <v>#REF!</v>
      </c>
      <c r="I48" s="75" t="e">
        <f>_xlfn.XLOOKUP(B48,#REF!,#REF!,0,0)</f>
        <v>#REF!</v>
      </c>
    </row>
    <row r="49" spans="1:10" s="26" customFormat="1" ht="23.25" customHeight="1">
      <c r="A49" s="5" t="s">
        <v>141</v>
      </c>
      <c r="B49" s="34">
        <v>2006</v>
      </c>
      <c r="C49" s="6" t="s">
        <v>156</v>
      </c>
      <c r="D49" s="6" t="s">
        <v>157</v>
      </c>
      <c r="E49" s="8">
        <v>25</v>
      </c>
      <c r="F49" s="62" t="s">
        <v>158</v>
      </c>
      <c r="G49" s="220"/>
      <c r="H49" s="79" t="e">
        <f>_xlfn.XLOOKUP(B49,#REF!,#REF!,0,0)</f>
        <v>#REF!</v>
      </c>
      <c r="I49" s="75" t="e">
        <f>_xlfn.XLOOKUP(B49,#REF!,#REF!,0,0)</f>
        <v>#REF!</v>
      </c>
    </row>
    <row r="50" spans="1:10" ht="23.25" customHeight="1">
      <c r="A50" s="5" t="s">
        <v>141</v>
      </c>
      <c r="B50" s="34">
        <v>2007</v>
      </c>
      <c r="C50" s="6" t="s">
        <v>159</v>
      </c>
      <c r="D50" s="6" t="s">
        <v>160</v>
      </c>
      <c r="E50" s="8">
        <v>25</v>
      </c>
      <c r="F50" s="62" t="s">
        <v>158</v>
      </c>
      <c r="G50" s="110"/>
      <c r="H50" s="79" t="e">
        <f>_xlfn.XLOOKUP(B50,#REF!,#REF!,0,0)</f>
        <v>#REF!</v>
      </c>
      <c r="I50" s="75" t="e">
        <f>_xlfn.XLOOKUP(B50,#REF!,#REF!,0,0)</f>
        <v>#REF!</v>
      </c>
      <c r="J50" s="24"/>
    </row>
    <row r="51" spans="1:10" ht="23.25" customHeight="1">
      <c r="A51" s="5" t="s">
        <v>141</v>
      </c>
      <c r="B51" s="34">
        <v>2008</v>
      </c>
      <c r="C51" s="6" t="s">
        <v>161</v>
      </c>
      <c r="D51" s="6" t="s">
        <v>162</v>
      </c>
      <c r="E51" s="8">
        <v>25</v>
      </c>
      <c r="F51" s="62" t="s">
        <v>163</v>
      </c>
      <c r="G51" s="110"/>
      <c r="H51" s="79" t="e">
        <f>_xlfn.XLOOKUP(B51,#REF!,#REF!,0,0)</f>
        <v>#REF!</v>
      </c>
      <c r="I51" s="75" t="e">
        <f>_xlfn.XLOOKUP(B51,#REF!,#REF!,0,0)</f>
        <v>#REF!</v>
      </c>
      <c r="J51" s="24"/>
    </row>
    <row r="52" spans="1:10" ht="23.25" customHeight="1">
      <c r="A52" s="5" t="s">
        <v>141</v>
      </c>
      <c r="B52" s="34">
        <v>2009</v>
      </c>
      <c r="C52" s="6" t="s">
        <v>164</v>
      </c>
      <c r="D52" s="9" t="s">
        <v>165</v>
      </c>
      <c r="E52" s="8">
        <v>25</v>
      </c>
      <c r="F52" s="62" t="s">
        <v>163</v>
      </c>
      <c r="G52" s="110"/>
      <c r="H52" s="79" t="e">
        <f>_xlfn.XLOOKUP(B52,#REF!,#REF!,0,0)</f>
        <v>#REF!</v>
      </c>
      <c r="I52" s="75" t="e">
        <f>_xlfn.XLOOKUP(B52,#REF!,#REF!,0,0)</f>
        <v>#REF!</v>
      </c>
      <c r="J52" s="24"/>
    </row>
    <row r="53" spans="1:10" ht="23.25" customHeight="1">
      <c r="A53" s="5" t="s">
        <v>141</v>
      </c>
      <c r="B53" s="34">
        <v>2013</v>
      </c>
      <c r="C53" s="6" t="s">
        <v>166</v>
      </c>
      <c r="D53" s="6" t="s">
        <v>167</v>
      </c>
      <c r="E53" s="8">
        <v>25</v>
      </c>
      <c r="F53" s="62" t="s">
        <v>150</v>
      </c>
      <c r="G53" s="110"/>
      <c r="H53" s="79" t="e">
        <f>_xlfn.XLOOKUP(B53,#REF!,#REF!,0,0)</f>
        <v>#REF!</v>
      </c>
      <c r="I53" s="75" t="e">
        <f>_xlfn.XLOOKUP(B53,#REF!,#REF!,0,0)</f>
        <v>#REF!</v>
      </c>
      <c r="J53" s="24"/>
    </row>
    <row r="54" spans="1:10" ht="23.25" customHeight="1">
      <c r="A54" s="5" t="s">
        <v>141</v>
      </c>
      <c r="B54" s="34">
        <v>2014</v>
      </c>
      <c r="C54" s="6" t="s">
        <v>168</v>
      </c>
      <c r="D54" s="6" t="s">
        <v>169</v>
      </c>
      <c r="E54" s="8">
        <v>25</v>
      </c>
      <c r="F54" s="62" t="s">
        <v>153</v>
      </c>
      <c r="G54" s="110"/>
      <c r="H54" s="79" t="e">
        <f>_xlfn.XLOOKUP(B54,#REF!,#REF!,0,0)</f>
        <v>#REF!</v>
      </c>
      <c r="I54" s="75" t="e">
        <f>_xlfn.XLOOKUP(B54,#REF!,#REF!,0,0)</f>
        <v>#REF!</v>
      </c>
    </row>
    <row r="55" spans="1:10" ht="23.25" customHeight="1">
      <c r="A55" s="5" t="s">
        <v>141</v>
      </c>
      <c r="B55" s="34">
        <v>2015</v>
      </c>
      <c r="C55" s="6" t="s">
        <v>170</v>
      </c>
      <c r="D55" s="6" t="s">
        <v>171</v>
      </c>
      <c r="E55" s="8">
        <v>25</v>
      </c>
      <c r="F55" s="62" t="s">
        <v>172</v>
      </c>
      <c r="G55" s="110"/>
      <c r="H55" s="79" t="e">
        <f>_xlfn.XLOOKUP(B55,#REF!,#REF!,0,0)</f>
        <v>#REF!</v>
      </c>
      <c r="I55" s="75" t="e">
        <f>_xlfn.XLOOKUP(B55,#REF!,#REF!,0,0)</f>
        <v>#REF!</v>
      </c>
    </row>
    <row r="56" spans="1:10" ht="23.25" customHeight="1">
      <c r="A56" s="116" t="s">
        <v>133</v>
      </c>
      <c r="B56" s="117"/>
      <c r="C56" s="115" t="s">
        <v>173</v>
      </c>
      <c r="D56" s="31"/>
      <c r="E56" s="33"/>
      <c r="F56" s="64"/>
      <c r="G56" s="221"/>
      <c r="H56" s="79"/>
      <c r="I56" s="75"/>
    </row>
    <row r="57" spans="1:10" ht="23.25" customHeight="1">
      <c r="A57" s="98" t="s">
        <v>174</v>
      </c>
      <c r="B57" s="99"/>
      <c r="C57" s="83" t="s">
        <v>175</v>
      </c>
      <c r="D57" s="82" t="s">
        <v>176</v>
      </c>
      <c r="E57" s="84"/>
      <c r="F57" s="100"/>
      <c r="G57" s="222"/>
      <c r="H57" s="181"/>
      <c r="I57" s="75"/>
    </row>
    <row r="58" spans="1:10" ht="23.25" customHeight="1">
      <c r="A58" s="98" t="s">
        <v>174</v>
      </c>
      <c r="B58" s="99"/>
      <c r="C58" s="193"/>
      <c r="D58" s="91"/>
      <c r="E58" s="84"/>
      <c r="F58" s="100"/>
      <c r="G58" s="222"/>
      <c r="H58" s="181"/>
      <c r="I58" s="75"/>
    </row>
    <row r="59" spans="1:10" ht="23.25" customHeight="1" thickBot="1">
      <c r="A59" s="98" t="s">
        <v>174</v>
      </c>
      <c r="B59" s="99"/>
      <c r="C59" s="82"/>
      <c r="D59" s="82"/>
      <c r="E59" s="96"/>
      <c r="F59" s="100"/>
      <c r="G59" s="223"/>
      <c r="H59" s="181"/>
      <c r="I59" s="75"/>
    </row>
    <row r="60" spans="1:10" s="27" customFormat="1" ht="23.25" customHeight="1" thickBot="1">
      <c r="A60" s="40" t="s">
        <v>177</v>
      </c>
      <c r="B60" s="43" t="s">
        <v>9</v>
      </c>
      <c r="C60" s="44" t="s">
        <v>10</v>
      </c>
      <c r="D60" s="44" t="s">
        <v>11</v>
      </c>
      <c r="E60" s="41" t="s">
        <v>12</v>
      </c>
      <c r="F60" s="65" t="s">
        <v>13</v>
      </c>
      <c r="G60" s="228"/>
      <c r="H60" s="79"/>
      <c r="I60" s="75"/>
      <c r="J60" s="87"/>
    </row>
    <row r="61" spans="1:10" s="27" customFormat="1" ht="23.25" customHeight="1">
      <c r="A61" s="48" t="s">
        <v>178</v>
      </c>
      <c r="B61" s="37">
        <v>3001</v>
      </c>
      <c r="C61" s="185" t="s">
        <v>179</v>
      </c>
      <c r="D61" s="185" t="s">
        <v>180</v>
      </c>
      <c r="E61" s="183">
        <v>25</v>
      </c>
      <c r="F61" s="186" t="s">
        <v>181</v>
      </c>
      <c r="G61" s="267"/>
      <c r="H61" s="79" t="e">
        <f>_xlfn.XLOOKUP(B61,#REF!,#REF!,0,0)</f>
        <v>#REF!</v>
      </c>
      <c r="I61" s="75" t="e">
        <f>_xlfn.XLOOKUP(B61,#REF!,#REF!,0,0)</f>
        <v>#REF!</v>
      </c>
      <c r="J61" s="87"/>
    </row>
    <row r="62" spans="1:10" ht="23.25" customHeight="1">
      <c r="A62" s="11" t="s">
        <v>182</v>
      </c>
      <c r="B62" s="34">
        <v>3003</v>
      </c>
      <c r="C62" s="9" t="s">
        <v>183</v>
      </c>
      <c r="D62" s="9" t="s">
        <v>184</v>
      </c>
      <c r="E62" s="184">
        <v>25</v>
      </c>
      <c r="F62" s="67" t="s">
        <v>181</v>
      </c>
      <c r="G62" s="268"/>
      <c r="H62" s="79" t="e">
        <f>_xlfn.XLOOKUP(B62,#REF!,#REF!,0,0)</f>
        <v>#REF!</v>
      </c>
      <c r="I62" s="75" t="e">
        <f>_xlfn.XLOOKUP(B62,#REF!,#REF!,0,0)</f>
        <v>#REF!</v>
      </c>
    </row>
    <row r="63" spans="1:10" ht="23.25" customHeight="1">
      <c r="A63" s="11" t="s">
        <v>185</v>
      </c>
      <c r="B63" s="34">
        <v>3005</v>
      </c>
      <c r="C63" s="9" t="s">
        <v>186</v>
      </c>
      <c r="D63" s="9" t="s">
        <v>187</v>
      </c>
      <c r="E63" s="13">
        <v>25</v>
      </c>
      <c r="F63" s="67" t="s">
        <v>188</v>
      </c>
      <c r="G63" s="268"/>
      <c r="H63" s="79" t="e">
        <f>_xlfn.XLOOKUP(B63,#REF!,#REF!,0,0)</f>
        <v>#REF!</v>
      </c>
      <c r="I63" s="75" t="e">
        <f>_xlfn.XLOOKUP(B63,#REF!,#REF!,0,0)</f>
        <v>#REF!</v>
      </c>
    </row>
    <row r="64" spans="1:10" ht="23.25" customHeight="1">
      <c r="A64" s="11" t="s">
        <v>189</v>
      </c>
      <c r="B64" s="34">
        <v>3006</v>
      </c>
      <c r="C64" s="9" t="s">
        <v>190</v>
      </c>
      <c r="D64" s="9" t="s">
        <v>191</v>
      </c>
      <c r="E64" s="13">
        <v>25</v>
      </c>
      <c r="F64" s="67" t="s">
        <v>192</v>
      </c>
      <c r="G64" s="268"/>
      <c r="H64" s="79" t="e">
        <f>_xlfn.XLOOKUP(B64,#REF!,#REF!,0,0)</f>
        <v>#REF!</v>
      </c>
      <c r="I64" s="75" t="e">
        <f>_xlfn.XLOOKUP(B64,#REF!,#REF!,0,0)</f>
        <v>#REF!</v>
      </c>
    </row>
    <row r="65" spans="1:9" ht="23.25" customHeight="1">
      <c r="A65" s="11" t="s">
        <v>193</v>
      </c>
      <c r="B65" s="34">
        <v>3008</v>
      </c>
      <c r="C65" s="9" t="s">
        <v>194</v>
      </c>
      <c r="D65" s="9" t="s">
        <v>195</v>
      </c>
      <c r="E65" s="13">
        <v>25</v>
      </c>
      <c r="F65" s="67" t="s">
        <v>196</v>
      </c>
      <c r="G65" s="268"/>
      <c r="H65" s="79" t="e">
        <f>_xlfn.XLOOKUP(B65,#REF!,#REF!,0,0)</f>
        <v>#REF!</v>
      </c>
      <c r="I65" s="75" t="e">
        <f>_xlfn.XLOOKUP(B65,#REF!,#REF!,0,0)</f>
        <v>#REF!</v>
      </c>
    </row>
    <row r="66" spans="1:9" ht="20.25">
      <c r="A66" s="11" t="s">
        <v>197</v>
      </c>
      <c r="B66" s="34">
        <v>3009</v>
      </c>
      <c r="C66" s="9" t="s">
        <v>198</v>
      </c>
      <c r="D66" s="9" t="s">
        <v>199</v>
      </c>
      <c r="E66" s="13">
        <v>25</v>
      </c>
      <c r="F66" s="67" t="s">
        <v>196</v>
      </c>
      <c r="G66" s="269"/>
      <c r="H66" s="79" t="e">
        <f>_xlfn.XLOOKUP(B66,#REF!,#REF!,0,0)</f>
        <v>#REF!</v>
      </c>
      <c r="I66" s="75" t="e">
        <f>_xlfn.XLOOKUP(B66,#REF!,#REF!,0,0)</f>
        <v>#REF!</v>
      </c>
    </row>
    <row r="67" spans="1:9" ht="20.25">
      <c r="A67" s="11" t="s">
        <v>200</v>
      </c>
      <c r="B67" s="18">
        <v>3020</v>
      </c>
      <c r="C67" s="9" t="s">
        <v>201</v>
      </c>
      <c r="D67" s="158" t="s">
        <v>202</v>
      </c>
      <c r="E67" s="13">
        <v>25</v>
      </c>
      <c r="F67" s="9" t="s">
        <v>203</v>
      </c>
      <c r="G67" s="5"/>
      <c r="H67" s="181"/>
      <c r="I67" s="75"/>
    </row>
    <row r="68" spans="1:9" ht="20.25">
      <c r="A68" s="11" t="s">
        <v>204</v>
      </c>
      <c r="B68" s="34">
        <v>3010</v>
      </c>
      <c r="C68" s="9" t="s">
        <v>205</v>
      </c>
      <c r="D68" s="158" t="s">
        <v>206</v>
      </c>
      <c r="E68" s="13">
        <v>25</v>
      </c>
      <c r="F68" s="9" t="s">
        <v>203</v>
      </c>
      <c r="G68" s="250"/>
      <c r="H68" s="79"/>
      <c r="I68" s="75"/>
    </row>
    <row r="69" spans="1:9" ht="20.25">
      <c r="A69" s="11" t="s">
        <v>207</v>
      </c>
      <c r="B69" s="34">
        <v>3013</v>
      </c>
      <c r="C69" s="9" t="s">
        <v>208</v>
      </c>
      <c r="D69" s="9" t="s">
        <v>209</v>
      </c>
      <c r="E69" s="13">
        <v>25</v>
      </c>
      <c r="F69" s="67" t="s">
        <v>210</v>
      </c>
      <c r="G69" s="268"/>
      <c r="H69" s="79" t="e">
        <f>_xlfn.XLOOKUP(B69,#REF!,#REF!,0,0)</f>
        <v>#REF!</v>
      </c>
      <c r="I69" s="75" t="e">
        <f>_xlfn.XLOOKUP(B69,#REF!,#REF!,0,0)</f>
        <v>#REF!</v>
      </c>
    </row>
    <row r="70" spans="1:9" ht="23.25" customHeight="1">
      <c r="A70" s="11" t="s">
        <v>211</v>
      </c>
      <c r="B70" s="34">
        <v>3014</v>
      </c>
      <c r="C70" s="9" t="s">
        <v>212</v>
      </c>
      <c r="D70" s="9" t="s">
        <v>213</v>
      </c>
      <c r="E70" s="13">
        <v>25</v>
      </c>
      <c r="F70" s="263" t="s">
        <v>214</v>
      </c>
      <c r="G70" s="268" t="s">
        <v>215</v>
      </c>
      <c r="H70" s="79" t="e">
        <f>_xlfn.XLOOKUP(B70,#REF!,#REF!,0,0)</f>
        <v>#REF!</v>
      </c>
      <c r="I70" s="80" t="e">
        <f>_xlfn.XLOOKUP(B70,#REF!,#REF!,0,0)</f>
        <v>#REF!</v>
      </c>
    </row>
    <row r="71" spans="1:9" ht="23.25" customHeight="1">
      <c r="A71" s="11" t="s">
        <v>207</v>
      </c>
      <c r="B71" s="34">
        <v>3015</v>
      </c>
      <c r="C71" s="9" t="s">
        <v>216</v>
      </c>
      <c r="D71" s="9" t="s">
        <v>217</v>
      </c>
      <c r="E71" s="13">
        <v>25</v>
      </c>
      <c r="F71" s="67" t="s">
        <v>214</v>
      </c>
      <c r="G71" s="268"/>
      <c r="H71" s="79" t="e">
        <f>_xlfn.XLOOKUP(B71,#REF!,#REF!,0,0)</f>
        <v>#REF!</v>
      </c>
      <c r="I71" s="75" t="e">
        <f>_xlfn.XLOOKUP(B71,#REF!,#REF!,0,0)</f>
        <v>#REF!</v>
      </c>
    </row>
    <row r="72" spans="1:9" ht="23.25" customHeight="1">
      <c r="A72" s="11" t="s">
        <v>185</v>
      </c>
      <c r="B72" s="34">
        <v>3016</v>
      </c>
      <c r="C72" s="9" t="s">
        <v>218</v>
      </c>
      <c r="D72" s="9" t="s">
        <v>219</v>
      </c>
      <c r="E72" s="13">
        <v>25</v>
      </c>
      <c r="F72" s="67" t="s">
        <v>188</v>
      </c>
      <c r="G72" s="269"/>
      <c r="H72" s="79" t="e">
        <f>_xlfn.XLOOKUP(B72,#REF!,#REF!,0,0)</f>
        <v>#REF!</v>
      </c>
      <c r="I72" s="75" t="e">
        <f>_xlfn.XLOOKUP(B72,#REF!,#REF!,0,0)</f>
        <v>#REF!</v>
      </c>
    </row>
    <row r="73" spans="1:9" ht="23.25" customHeight="1">
      <c r="A73" s="11" t="s">
        <v>220</v>
      </c>
      <c r="B73" s="34">
        <v>3017</v>
      </c>
      <c r="C73" s="9" t="s">
        <v>221</v>
      </c>
      <c r="D73" s="176" t="s">
        <v>222</v>
      </c>
      <c r="E73" s="13">
        <v>25</v>
      </c>
      <c r="F73" s="67" t="s">
        <v>223</v>
      </c>
      <c r="G73" s="268"/>
      <c r="H73" s="79" t="e">
        <f>_xlfn.XLOOKUP(B73,#REF!,#REF!,0,0)</f>
        <v>#REF!</v>
      </c>
      <c r="I73" s="75" t="e">
        <f>_xlfn.XLOOKUP(B73,#REF!,#REF!,0,0)</f>
        <v>#REF!</v>
      </c>
    </row>
    <row r="74" spans="1:9" ht="23.25" customHeight="1">
      <c r="A74" s="11" t="s">
        <v>224</v>
      </c>
      <c r="B74" s="34">
        <v>3018</v>
      </c>
      <c r="C74" s="9" t="s">
        <v>225</v>
      </c>
      <c r="D74" s="9" t="s">
        <v>226</v>
      </c>
      <c r="E74" s="13">
        <v>25</v>
      </c>
      <c r="F74" s="67" t="s">
        <v>227</v>
      </c>
      <c r="G74" s="270"/>
      <c r="H74" s="79" t="e">
        <f>_xlfn.XLOOKUP(B74,#REF!,#REF!,0,0)</f>
        <v>#REF!</v>
      </c>
      <c r="I74" s="75" t="e">
        <f>_xlfn.XLOOKUP(B74,#REF!,#REF!,0,0)</f>
        <v>#REF!</v>
      </c>
    </row>
    <row r="75" spans="1:9" ht="23.25" customHeight="1">
      <c r="A75" s="11" t="s">
        <v>228</v>
      </c>
      <c r="B75" s="34">
        <v>3019</v>
      </c>
      <c r="C75" s="9" t="s">
        <v>225</v>
      </c>
      <c r="D75" s="9" t="s">
        <v>226</v>
      </c>
      <c r="E75" s="13">
        <v>25</v>
      </c>
      <c r="F75" s="67" t="s">
        <v>227</v>
      </c>
      <c r="G75" s="271"/>
      <c r="H75" s="181" t="e">
        <f>_xlfn.XLOOKUP(B75,#REF!,#REF!,0,0)</f>
        <v>#REF!</v>
      </c>
      <c r="I75" s="75" t="e">
        <f>_xlfn.XLOOKUP(B75,#REF!,#REF!,0,0)</f>
        <v>#REF!</v>
      </c>
    </row>
    <row r="76" spans="1:9" ht="23.25" customHeight="1">
      <c r="A76" s="242" t="s">
        <v>229</v>
      </c>
      <c r="B76" s="215" t="s">
        <v>230</v>
      </c>
      <c r="C76" s="243" t="s">
        <v>231</v>
      </c>
      <c r="D76" s="243" t="s">
        <v>231</v>
      </c>
      <c r="E76" s="244">
        <v>25</v>
      </c>
      <c r="F76" s="245" t="s">
        <v>231</v>
      </c>
      <c r="G76" s="271"/>
      <c r="H76" s="181"/>
      <c r="I76" s="75"/>
    </row>
    <row r="77" spans="1:9" ht="23.25" customHeight="1">
      <c r="A77" s="73" t="s">
        <v>232</v>
      </c>
      <c r="B77" s="35">
        <v>3024</v>
      </c>
      <c r="C77" s="23" t="s">
        <v>233</v>
      </c>
      <c r="D77" s="23" t="s">
        <v>234</v>
      </c>
      <c r="E77" s="74">
        <v>25</v>
      </c>
      <c r="F77" s="182" t="s">
        <v>235</v>
      </c>
      <c r="G77" s="272" t="s">
        <v>236</v>
      </c>
      <c r="H77" s="79" t="s">
        <v>237</v>
      </c>
      <c r="I77" s="75"/>
    </row>
    <row r="78" spans="1:9" ht="23.25" customHeight="1">
      <c r="A78" s="14" t="s">
        <v>232</v>
      </c>
      <c r="B78" s="18">
        <v>3032</v>
      </c>
      <c r="C78" s="9" t="s">
        <v>238</v>
      </c>
      <c r="D78" s="9" t="s">
        <v>239</v>
      </c>
      <c r="E78" s="12">
        <v>25</v>
      </c>
      <c r="F78" s="67" t="s">
        <v>240</v>
      </c>
      <c r="G78" s="268"/>
      <c r="H78" s="79"/>
      <c r="I78" s="75"/>
    </row>
    <row r="79" spans="1:9" ht="23.25" customHeight="1">
      <c r="A79" s="14" t="s">
        <v>241</v>
      </c>
      <c r="B79" s="34">
        <v>3025</v>
      </c>
      <c r="C79" s="9" t="s">
        <v>238</v>
      </c>
      <c r="D79" s="9" t="s">
        <v>238</v>
      </c>
      <c r="E79" s="13">
        <v>25</v>
      </c>
      <c r="F79" s="67" t="s">
        <v>242</v>
      </c>
      <c r="G79" s="268"/>
      <c r="H79" s="79" t="e">
        <f>_xlfn.XLOOKUP(B79,#REF!,#REF!,0,0)</f>
        <v>#REF!</v>
      </c>
      <c r="I79" s="75" t="e">
        <f>_xlfn.XLOOKUP(B79,#REF!,#REF!,0,0)</f>
        <v>#REF!</v>
      </c>
    </row>
    <row r="80" spans="1:9" ht="23.25" customHeight="1">
      <c r="A80" s="11" t="s">
        <v>243</v>
      </c>
      <c r="B80" s="34">
        <v>3026</v>
      </c>
      <c r="C80" s="9" t="s">
        <v>244</v>
      </c>
      <c r="D80" s="9" t="s">
        <v>245</v>
      </c>
      <c r="E80" s="13">
        <v>25</v>
      </c>
      <c r="F80" s="67" t="s">
        <v>246</v>
      </c>
      <c r="G80" s="268"/>
      <c r="H80" s="79" t="e">
        <f>_xlfn.XLOOKUP(B80,#REF!,#REF!,0,0)</f>
        <v>#REF!</v>
      </c>
      <c r="I80" s="75" t="e">
        <f>_xlfn.XLOOKUP(B80,#REF!,#REF!,0,0)</f>
        <v>#REF!</v>
      </c>
    </row>
    <row r="81" spans="1:9" ht="23.25" customHeight="1">
      <c r="A81" s="11" t="s">
        <v>247</v>
      </c>
      <c r="B81" s="34">
        <v>3027</v>
      </c>
      <c r="C81" s="131" t="s">
        <v>248</v>
      </c>
      <c r="D81" s="9" t="s">
        <v>249</v>
      </c>
      <c r="E81" s="13">
        <v>25</v>
      </c>
      <c r="F81" s="67" t="s">
        <v>235</v>
      </c>
      <c r="G81" s="268"/>
      <c r="H81" s="79" t="e">
        <f>_xlfn.XLOOKUP(B81,#REF!,#REF!,0,0)</f>
        <v>#REF!</v>
      </c>
      <c r="I81" s="75" t="e">
        <f>_xlfn.XLOOKUP(B81,#REF!,#REF!,0,0)</f>
        <v>#REF!</v>
      </c>
    </row>
    <row r="82" spans="1:9" ht="23.25" customHeight="1">
      <c r="A82" s="11" t="s">
        <v>250</v>
      </c>
      <c r="B82" s="34">
        <v>3028</v>
      </c>
      <c r="C82" s="9" t="s">
        <v>251</v>
      </c>
      <c r="D82" s="9" t="s">
        <v>252</v>
      </c>
      <c r="E82" s="13">
        <v>25</v>
      </c>
      <c r="F82" s="9" t="s">
        <v>253</v>
      </c>
      <c r="G82" s="268"/>
      <c r="H82" s="79" t="e">
        <f>_xlfn.XLOOKUP(B82,#REF!,#REF!,0,0)</f>
        <v>#REF!</v>
      </c>
      <c r="I82" s="75" t="e">
        <f>_xlfn.XLOOKUP(B82,#REF!,#REF!,0,0)</f>
        <v>#REF!</v>
      </c>
    </row>
    <row r="83" spans="1:9" ht="23.25" customHeight="1">
      <c r="A83" s="11" t="s">
        <v>254</v>
      </c>
      <c r="B83" s="34">
        <v>3029</v>
      </c>
      <c r="C83" s="9" t="s">
        <v>240</v>
      </c>
      <c r="D83" s="131" t="s">
        <v>255</v>
      </c>
      <c r="E83" s="13">
        <v>25</v>
      </c>
      <c r="F83" s="67" t="s">
        <v>256</v>
      </c>
      <c r="G83" s="269"/>
      <c r="H83" s="79" t="e">
        <f>_xlfn.XLOOKUP(B83,#REF!,#REF!,0,0)</f>
        <v>#REF!</v>
      </c>
      <c r="I83" s="75" t="e">
        <f>_xlfn.XLOOKUP(B83,#REF!,#REF!,0,0)</f>
        <v>#REF!</v>
      </c>
    </row>
    <row r="84" spans="1:9" ht="23.25" customHeight="1">
      <c r="A84" s="73" t="s">
        <v>257</v>
      </c>
      <c r="B84" s="35">
        <v>3031</v>
      </c>
      <c r="C84" s="23" t="s">
        <v>258</v>
      </c>
      <c r="D84" s="23" t="s">
        <v>259</v>
      </c>
      <c r="E84" s="74">
        <v>25</v>
      </c>
      <c r="F84" s="182" t="s">
        <v>260</v>
      </c>
      <c r="G84" s="268" t="s">
        <v>236</v>
      </c>
      <c r="H84" s="79" t="e">
        <f>_xlfn.XLOOKUP(B84,#REF!,#REF!,0,0)</f>
        <v>#REF!</v>
      </c>
      <c r="I84" s="75" t="e">
        <f>_xlfn.XLOOKUP(B84,#REF!,#REF!,0,0)</f>
        <v>#REF!</v>
      </c>
    </row>
    <row r="85" spans="1:9" ht="23.25" customHeight="1">
      <c r="A85" s="14" t="s">
        <v>257</v>
      </c>
      <c r="B85" s="18" t="s">
        <v>261</v>
      </c>
      <c r="C85" s="9" t="s">
        <v>259</v>
      </c>
      <c r="D85" s="9" t="s">
        <v>262</v>
      </c>
      <c r="E85" s="12">
        <v>25</v>
      </c>
      <c r="F85" s="67" t="s">
        <v>256</v>
      </c>
      <c r="G85" s="272"/>
      <c r="H85" s="79"/>
      <c r="I85" s="75"/>
    </row>
    <row r="86" spans="1:9" ht="23.25" customHeight="1">
      <c r="A86" s="11" t="s">
        <v>263</v>
      </c>
      <c r="B86" s="34">
        <v>3035</v>
      </c>
      <c r="C86" s="9" t="s">
        <v>264</v>
      </c>
      <c r="D86" s="9" t="s">
        <v>265</v>
      </c>
      <c r="E86" s="13">
        <v>25</v>
      </c>
      <c r="F86" s="67" t="s">
        <v>266</v>
      </c>
      <c r="G86" s="268"/>
      <c r="H86" s="79" t="e">
        <f>_xlfn.XLOOKUP(B86,#REF!,#REF!,0,0)</f>
        <v>#REF!</v>
      </c>
      <c r="I86" s="75" t="e">
        <f>_xlfn.XLOOKUP(B86,#REF!,#REF!,0,0)</f>
        <v>#REF!</v>
      </c>
    </row>
    <row r="87" spans="1:9" ht="23.25" customHeight="1">
      <c r="A87" s="14" t="s">
        <v>267</v>
      </c>
      <c r="B87" s="18">
        <v>3036</v>
      </c>
      <c r="C87" s="9" t="s">
        <v>268</v>
      </c>
      <c r="D87" s="9" t="s">
        <v>269</v>
      </c>
      <c r="E87" s="12">
        <v>25</v>
      </c>
      <c r="F87" s="67" t="s">
        <v>270</v>
      </c>
      <c r="G87" s="268"/>
      <c r="H87" s="79" t="e">
        <f>_xlfn.XLOOKUP(B87,#REF!,#REF!,0,0)</f>
        <v>#REF!</v>
      </c>
      <c r="I87" s="75" t="e">
        <f>_xlfn.XLOOKUP(B87,#REF!,#REF!,0,0)</f>
        <v>#REF!</v>
      </c>
    </row>
    <row r="88" spans="1:9" ht="23.25" customHeight="1">
      <c r="A88" s="203" t="s">
        <v>271</v>
      </c>
      <c r="B88" s="204"/>
      <c r="C88" s="200" t="s">
        <v>272</v>
      </c>
      <c r="D88" s="200" t="s">
        <v>273</v>
      </c>
      <c r="E88" s="81">
        <v>25</v>
      </c>
      <c r="F88" s="67" t="s">
        <v>274</v>
      </c>
      <c r="G88" s="268"/>
      <c r="H88" s="79" t="s">
        <v>237</v>
      </c>
      <c r="I88" s="75"/>
    </row>
    <row r="89" spans="1:9" ht="23.25" customHeight="1">
      <c r="A89" s="11" t="s">
        <v>275</v>
      </c>
      <c r="B89" s="34">
        <v>3037</v>
      </c>
      <c r="C89" s="9" t="s">
        <v>276</v>
      </c>
      <c r="D89" s="9" t="s">
        <v>277</v>
      </c>
      <c r="E89" s="13">
        <v>25</v>
      </c>
      <c r="F89" s="188" t="s">
        <v>278</v>
      </c>
      <c r="G89" s="268"/>
      <c r="H89" s="79" t="e">
        <f>_xlfn.XLOOKUP(B89,#REF!,#REF!,0,0)</f>
        <v>#REF!</v>
      </c>
      <c r="I89" s="75" t="e">
        <f>_xlfn.XLOOKUP(B89,#REF!,#REF!,0,0)</f>
        <v>#REF!</v>
      </c>
    </row>
    <row r="90" spans="1:9" ht="23.25" customHeight="1">
      <c r="A90" s="11" t="s">
        <v>279</v>
      </c>
      <c r="B90" s="34">
        <v>3038</v>
      </c>
      <c r="C90" s="9" t="s">
        <v>280</v>
      </c>
      <c r="D90" s="9" t="s">
        <v>281</v>
      </c>
      <c r="E90" s="13">
        <v>25</v>
      </c>
      <c r="F90" s="67" t="s">
        <v>282</v>
      </c>
      <c r="G90" s="268"/>
      <c r="H90" s="79" t="e">
        <f>_xlfn.XLOOKUP(B90,#REF!,#REF!,0,0)</f>
        <v>#REF!</v>
      </c>
      <c r="I90" s="75" t="e">
        <f>_xlfn.XLOOKUP(B90,#REF!,#REF!,0,0)</f>
        <v>#REF!</v>
      </c>
    </row>
    <row r="91" spans="1:9" ht="23.25" customHeight="1">
      <c r="A91" s="11" t="s">
        <v>279</v>
      </c>
      <c r="B91" s="34">
        <v>3039</v>
      </c>
      <c r="C91" s="9" t="s">
        <v>280</v>
      </c>
      <c r="D91" s="9" t="s">
        <v>283</v>
      </c>
      <c r="E91" s="13">
        <v>25</v>
      </c>
      <c r="F91" s="67" t="s">
        <v>282</v>
      </c>
      <c r="G91" s="268"/>
      <c r="H91" s="79" t="e">
        <f>_xlfn.XLOOKUP(B91,#REF!,#REF!,0,0)</f>
        <v>#REF!</v>
      </c>
      <c r="I91" s="75" t="e">
        <f>_xlfn.XLOOKUP(B91,#REF!,#REF!,0,0)</f>
        <v>#REF!</v>
      </c>
    </row>
    <row r="92" spans="1:9" ht="23.25" customHeight="1">
      <c r="A92" s="11" t="s">
        <v>284</v>
      </c>
      <c r="B92" s="34">
        <v>3040</v>
      </c>
      <c r="C92" s="9" t="s">
        <v>285</v>
      </c>
      <c r="D92" s="9" t="s">
        <v>286</v>
      </c>
      <c r="E92" s="13">
        <v>25</v>
      </c>
      <c r="F92" s="188" t="s">
        <v>287</v>
      </c>
      <c r="G92" s="268"/>
      <c r="H92" s="79" t="e">
        <f>_xlfn.XLOOKUP(B92,#REF!,#REF!,0,0)</f>
        <v>#REF!</v>
      </c>
      <c r="I92" s="75" t="e">
        <f>_xlfn.XLOOKUP(B92,#REF!,#REF!,0,0)</f>
        <v>#REF!</v>
      </c>
    </row>
    <row r="93" spans="1:9" ht="23.25" customHeight="1">
      <c r="A93" s="14" t="s">
        <v>279</v>
      </c>
      <c r="B93" s="18">
        <v>3041</v>
      </c>
      <c r="C93" s="9" t="s">
        <v>288</v>
      </c>
      <c r="D93" s="9" t="s">
        <v>289</v>
      </c>
      <c r="E93" s="12">
        <v>25</v>
      </c>
      <c r="F93" s="67" t="s">
        <v>290</v>
      </c>
      <c r="G93" s="268"/>
      <c r="H93" s="79" t="e">
        <f>_xlfn.XLOOKUP(B93,#REF!,#REF!,0,0)</f>
        <v>#REF!</v>
      </c>
      <c r="I93" s="75" t="e">
        <f>_xlfn.XLOOKUP(B93,#REF!,#REF!,0,0)</f>
        <v>#REF!</v>
      </c>
    </row>
    <row r="94" spans="1:9" ht="23.25" customHeight="1">
      <c r="A94" s="11" t="s">
        <v>291</v>
      </c>
      <c r="B94" s="34">
        <v>3042</v>
      </c>
      <c r="C94" s="9" t="s">
        <v>276</v>
      </c>
      <c r="D94" s="9" t="s">
        <v>277</v>
      </c>
      <c r="E94" s="13">
        <v>25</v>
      </c>
      <c r="F94" s="188" t="s">
        <v>278</v>
      </c>
      <c r="G94" s="268"/>
      <c r="H94" s="79" t="e">
        <f>_xlfn.XLOOKUP(B94,#REF!,#REF!,0,0)</f>
        <v>#REF!</v>
      </c>
      <c r="I94" s="75" t="e">
        <f>_xlfn.XLOOKUP(B94,#REF!,#REF!,0,0)</f>
        <v>#REF!</v>
      </c>
    </row>
    <row r="95" spans="1:9" ht="23.25" customHeight="1">
      <c r="A95" s="11" t="s">
        <v>292</v>
      </c>
      <c r="B95" s="34">
        <v>3043</v>
      </c>
      <c r="C95" s="9" t="s">
        <v>244</v>
      </c>
      <c r="D95" s="9" t="s">
        <v>245</v>
      </c>
      <c r="E95" s="13">
        <v>25</v>
      </c>
      <c r="F95" s="67" t="s">
        <v>246</v>
      </c>
      <c r="G95" s="273"/>
      <c r="H95" s="79" t="e">
        <f>_xlfn.XLOOKUP(B95,#REF!,#REF!,0,0)</f>
        <v>#REF!</v>
      </c>
      <c r="I95" s="75"/>
    </row>
    <row r="96" spans="1:9" ht="23.25" customHeight="1">
      <c r="A96" s="11" t="s">
        <v>293</v>
      </c>
      <c r="B96" s="34">
        <v>3044</v>
      </c>
      <c r="C96" s="9" t="s">
        <v>294</v>
      </c>
      <c r="D96" s="9" t="s">
        <v>295</v>
      </c>
      <c r="E96" s="12">
        <v>25</v>
      </c>
      <c r="F96" s="67" t="s">
        <v>246</v>
      </c>
      <c r="G96" s="269"/>
      <c r="H96" s="79" t="e">
        <f>_xlfn.XLOOKUP(B96,#REF!,#REF!,0,0)</f>
        <v>#REF!</v>
      </c>
      <c r="I96" s="80" t="e">
        <f>_xlfn.XLOOKUP(B96,#REF!,#REF!,0,0)</f>
        <v>#REF!</v>
      </c>
    </row>
    <row r="97" spans="1:9" ht="23.25" customHeight="1">
      <c r="A97" s="11" t="s">
        <v>296</v>
      </c>
      <c r="B97" s="34">
        <v>3045</v>
      </c>
      <c r="C97" s="9" t="s">
        <v>297</v>
      </c>
      <c r="D97" s="254" t="s">
        <v>298</v>
      </c>
      <c r="E97" s="13">
        <v>25</v>
      </c>
      <c r="F97" s="67" t="s">
        <v>242</v>
      </c>
      <c r="G97" s="268"/>
      <c r="H97" s="79" t="e">
        <f>_xlfn.XLOOKUP(B97,#REF!,#REF!,0,0)</f>
        <v>#REF!</v>
      </c>
      <c r="I97" s="75" t="e">
        <f>_xlfn.XLOOKUP(B97,#REF!,#REF!,0,0)</f>
        <v>#REF!</v>
      </c>
    </row>
    <row r="98" spans="1:9" ht="23.25" customHeight="1">
      <c r="A98" s="11" t="s">
        <v>299</v>
      </c>
      <c r="B98" s="34">
        <v>3046</v>
      </c>
      <c r="C98" s="9" t="s">
        <v>297</v>
      </c>
      <c r="D98" s="187" t="s">
        <v>298</v>
      </c>
      <c r="E98" s="15">
        <v>25</v>
      </c>
      <c r="F98" s="67" t="s">
        <v>242</v>
      </c>
      <c r="G98" s="268"/>
      <c r="H98" s="79" t="e">
        <f>_xlfn.XLOOKUP(B98,#REF!,#REF!,0,0)</f>
        <v>#REF!</v>
      </c>
      <c r="I98" s="75" t="e">
        <f>_xlfn.XLOOKUP(B98,#REF!,#REF!,0,0)</f>
        <v>#REF!</v>
      </c>
    </row>
    <row r="99" spans="1:9" ht="23.25" customHeight="1">
      <c r="A99" s="118" t="s">
        <v>300</v>
      </c>
      <c r="B99" s="117"/>
      <c r="C99" s="189" t="s">
        <v>301</v>
      </c>
      <c r="D99" s="180"/>
      <c r="E99" s="136"/>
      <c r="F99" s="137"/>
      <c r="G99" s="272"/>
      <c r="H99" s="79"/>
      <c r="I99" s="75"/>
    </row>
    <row r="100" spans="1:9" ht="23.25" customHeight="1">
      <c r="A100" s="89" t="s">
        <v>302</v>
      </c>
      <c r="B100" s="101"/>
      <c r="C100" s="264" t="s">
        <v>303</v>
      </c>
      <c r="D100" s="264" t="s">
        <v>304</v>
      </c>
      <c r="E100" s="102"/>
      <c r="F100" s="103" t="s">
        <v>305</v>
      </c>
      <c r="G100" s="272"/>
      <c r="H100" s="79"/>
      <c r="I100" s="75"/>
    </row>
    <row r="101" spans="1:9" ht="23.25" customHeight="1">
      <c r="A101" s="89" t="s">
        <v>302</v>
      </c>
      <c r="B101" s="101"/>
      <c r="C101" s="264" t="s">
        <v>306</v>
      </c>
      <c r="D101" s="264" t="s">
        <v>307</v>
      </c>
      <c r="E101" s="102"/>
      <c r="F101" s="103" t="s">
        <v>308</v>
      </c>
      <c r="G101" s="268"/>
      <c r="H101" s="79"/>
      <c r="I101" s="75"/>
    </row>
    <row r="102" spans="1:9" ht="23.25" customHeight="1">
      <c r="A102" s="89" t="s">
        <v>302</v>
      </c>
      <c r="B102" s="101"/>
      <c r="C102" s="83"/>
      <c r="D102" s="264" t="s">
        <v>309</v>
      </c>
      <c r="E102" s="102"/>
      <c r="F102" s="103" t="s">
        <v>310</v>
      </c>
      <c r="G102" s="268"/>
      <c r="H102" s="79"/>
      <c r="I102" s="75"/>
    </row>
    <row r="103" spans="1:9" ht="23.25" customHeight="1">
      <c r="A103" s="89" t="s">
        <v>302</v>
      </c>
      <c r="B103" s="159"/>
      <c r="C103" s="265"/>
      <c r="D103" s="266"/>
      <c r="E103" s="102"/>
      <c r="F103" s="103" t="s">
        <v>311</v>
      </c>
      <c r="G103" s="268"/>
      <c r="H103" s="79"/>
      <c r="I103" s="75"/>
    </row>
    <row r="104" spans="1:9" ht="23.25" customHeight="1">
      <c r="A104" s="89" t="s">
        <v>302</v>
      </c>
      <c r="B104" s="159"/>
      <c r="C104" s="114"/>
      <c r="D104" s="114"/>
      <c r="E104" s="102"/>
      <c r="F104" s="103"/>
      <c r="G104" s="268"/>
      <c r="H104" s="79"/>
      <c r="I104" s="75"/>
    </row>
    <row r="105" spans="1:9" ht="23.25" customHeight="1">
      <c r="A105" s="89" t="s">
        <v>302</v>
      </c>
      <c r="B105" s="159"/>
      <c r="C105" s="161"/>
      <c r="D105" s="160"/>
      <c r="E105" s="102"/>
      <c r="F105" s="274"/>
      <c r="G105" s="110"/>
      <c r="H105" s="79"/>
      <c r="I105" s="75"/>
    </row>
    <row r="106" spans="1:9" ht="23.25" customHeight="1">
      <c r="A106" s="89" t="s">
        <v>302</v>
      </c>
      <c r="B106" s="159"/>
      <c r="C106" s="161"/>
      <c r="D106" s="160"/>
      <c r="E106" s="102"/>
      <c r="F106" s="103"/>
      <c r="G106" s="110"/>
      <c r="H106" s="79"/>
      <c r="I106" s="75"/>
    </row>
    <row r="107" spans="1:9" ht="23.25" customHeight="1">
      <c r="A107" s="89" t="s">
        <v>302</v>
      </c>
      <c r="B107" s="159"/>
      <c r="C107" s="161"/>
      <c r="D107" s="160"/>
      <c r="E107" s="102"/>
      <c r="F107" s="103"/>
      <c r="G107" s="110"/>
      <c r="H107" s="79"/>
      <c r="I107" s="75"/>
    </row>
    <row r="108" spans="1:9" ht="23.25" customHeight="1">
      <c r="A108" s="89" t="s">
        <v>302</v>
      </c>
      <c r="B108" s="159"/>
      <c r="C108" s="161"/>
      <c r="D108" s="160"/>
      <c r="E108" s="102"/>
      <c r="F108" s="94"/>
      <c r="G108" s="110"/>
      <c r="H108" s="79"/>
      <c r="I108" s="75"/>
    </row>
    <row r="109" spans="1:9" ht="23.25" customHeight="1">
      <c r="A109" s="89" t="s">
        <v>302</v>
      </c>
      <c r="B109" s="159"/>
      <c r="C109" s="161"/>
      <c r="D109" s="160"/>
      <c r="E109" s="102"/>
      <c r="F109" s="103"/>
      <c r="G109" s="110"/>
      <c r="H109" s="79"/>
      <c r="I109" s="75"/>
    </row>
    <row r="110" spans="1:9" ht="23.25" customHeight="1">
      <c r="A110" s="97" t="s">
        <v>302</v>
      </c>
      <c r="B110" s="104"/>
      <c r="C110" s="165"/>
      <c r="D110" s="82"/>
      <c r="E110" s="105"/>
      <c r="F110" s="106"/>
      <c r="G110" s="110"/>
      <c r="H110" s="79"/>
      <c r="I110" s="75"/>
    </row>
    <row r="111" spans="1:9" ht="23.25" customHeight="1" thickBot="1">
      <c r="A111" s="97" t="s">
        <v>302</v>
      </c>
      <c r="B111" s="104"/>
      <c r="C111" s="91"/>
      <c r="D111" s="82"/>
      <c r="E111" s="105"/>
      <c r="F111" s="106"/>
      <c r="G111" s="110"/>
      <c r="H111" s="79"/>
      <c r="I111" s="75"/>
    </row>
    <row r="112" spans="1:9" ht="23.25" customHeight="1" thickBot="1">
      <c r="A112" s="40" t="s">
        <v>312</v>
      </c>
      <c r="B112" s="43" t="s">
        <v>9</v>
      </c>
      <c r="C112" s="44" t="s">
        <v>10</v>
      </c>
      <c r="D112" s="44" t="s">
        <v>11</v>
      </c>
      <c r="E112" s="41" t="s">
        <v>12</v>
      </c>
      <c r="F112" s="65" t="s">
        <v>13</v>
      </c>
      <c r="G112" s="110"/>
      <c r="H112" s="79"/>
      <c r="I112" s="75"/>
    </row>
    <row r="113" spans="1:10" ht="23.25" customHeight="1">
      <c r="A113" s="36" t="s">
        <v>313</v>
      </c>
      <c r="B113" s="37">
        <v>4001</v>
      </c>
      <c r="C113" s="38" t="s">
        <v>314</v>
      </c>
      <c r="D113" s="157"/>
      <c r="E113" s="39">
        <v>75</v>
      </c>
      <c r="F113" s="68" t="s">
        <v>315</v>
      </c>
      <c r="G113" s="110"/>
      <c r="H113" s="79" t="e">
        <f>_xlfn.XLOOKUP(B113,#REF!,#REF!,0,0)</f>
        <v>#REF!</v>
      </c>
      <c r="I113" s="75" t="e">
        <f>_xlfn.XLOOKUP(B113,#REF!,#REF!,0,0)</f>
        <v>#REF!</v>
      </c>
    </row>
    <row r="114" spans="1:10" ht="23.25" customHeight="1">
      <c r="A114" s="5" t="s">
        <v>316</v>
      </c>
      <c r="B114" s="34">
        <v>4002</v>
      </c>
      <c r="C114" s="6" t="s">
        <v>317</v>
      </c>
      <c r="D114" s="6" t="s">
        <v>318</v>
      </c>
      <c r="E114" s="8">
        <v>25</v>
      </c>
      <c r="F114" s="62" t="s">
        <v>319</v>
      </c>
      <c r="G114" s="110"/>
      <c r="H114" s="79" t="e">
        <f>_xlfn.XLOOKUP(B114,#REF!,#REF!,0,0)</f>
        <v>#REF!</v>
      </c>
      <c r="I114" s="75" t="e">
        <f>_xlfn.XLOOKUP(B114,#REF!,#REF!,0,0)</f>
        <v>#REF!</v>
      </c>
    </row>
    <row r="115" spans="1:10" ht="23.25" customHeight="1">
      <c r="A115" s="10" t="s">
        <v>320</v>
      </c>
      <c r="B115" s="18">
        <v>4003</v>
      </c>
      <c r="C115" s="6" t="s">
        <v>321</v>
      </c>
      <c r="D115" s="6" t="s">
        <v>322</v>
      </c>
      <c r="E115" s="15">
        <v>25</v>
      </c>
      <c r="F115" s="62" t="s">
        <v>323</v>
      </c>
      <c r="G115" s="110"/>
      <c r="H115" s="79"/>
      <c r="I115" s="75"/>
    </row>
    <row r="116" spans="1:10" ht="23.25" customHeight="1">
      <c r="A116" s="5" t="s">
        <v>320</v>
      </c>
      <c r="B116" s="34">
        <v>4004</v>
      </c>
      <c r="C116" s="6" t="s">
        <v>324</v>
      </c>
      <c r="D116" s="6" t="s">
        <v>325</v>
      </c>
      <c r="E116" s="15">
        <v>25</v>
      </c>
      <c r="F116" s="62" t="s">
        <v>319</v>
      </c>
      <c r="G116" s="110"/>
      <c r="H116" s="79" t="e">
        <f>_xlfn.XLOOKUP(B116,#REF!,#REF!,0,0)</f>
        <v>#REF!</v>
      </c>
      <c r="I116" s="75" t="e">
        <f>_xlfn.XLOOKUP(B116,#REF!,#REF!,0,0)</f>
        <v>#REF!</v>
      </c>
    </row>
    <row r="117" spans="1:10" ht="23.25" customHeight="1">
      <c r="A117" s="5" t="s">
        <v>326</v>
      </c>
      <c r="B117" s="34">
        <v>4005</v>
      </c>
      <c r="C117" s="249" t="s">
        <v>327</v>
      </c>
      <c r="D117" s="6" t="s">
        <v>328</v>
      </c>
      <c r="E117" s="15">
        <v>25</v>
      </c>
      <c r="F117" s="258" t="s">
        <v>323</v>
      </c>
      <c r="G117" s="110"/>
      <c r="H117" s="79" t="e">
        <f>_xlfn.XLOOKUP(B117,#REF!,#REF!,0,0)</f>
        <v>#REF!</v>
      </c>
      <c r="I117" s="75" t="e">
        <f>_xlfn.XLOOKUP(B117,#REF!,#REF!,0,0)</f>
        <v>#REF!</v>
      </c>
    </row>
    <row r="118" spans="1:10" ht="23.25" customHeight="1">
      <c r="A118" s="5" t="s">
        <v>326</v>
      </c>
      <c r="B118" s="34">
        <v>4006</v>
      </c>
      <c r="C118" s="6" t="s">
        <v>329</v>
      </c>
      <c r="D118" s="6" t="s">
        <v>330</v>
      </c>
      <c r="E118" s="15">
        <v>25</v>
      </c>
      <c r="F118" s="6" t="s">
        <v>331</v>
      </c>
      <c r="G118" s="110"/>
      <c r="H118" s="79" t="e">
        <f>_xlfn.XLOOKUP(B118,#REF!,#REF!,0,0)</f>
        <v>#REF!</v>
      </c>
      <c r="I118" s="75" t="e">
        <f>_xlfn.XLOOKUP(B118,#REF!,#REF!,0,0)</f>
        <v>#REF!</v>
      </c>
    </row>
    <row r="119" spans="1:10" ht="23.25" customHeight="1">
      <c r="A119" s="5" t="s">
        <v>326</v>
      </c>
      <c r="B119" s="34">
        <v>4007</v>
      </c>
      <c r="C119" s="6" t="s">
        <v>332</v>
      </c>
      <c r="D119" s="6" t="s">
        <v>333</v>
      </c>
      <c r="E119" s="15">
        <v>25</v>
      </c>
      <c r="F119" s="68" t="s">
        <v>315</v>
      </c>
      <c r="G119" s="110"/>
      <c r="H119" s="79" t="e">
        <f>_xlfn.XLOOKUP(B119,#REF!,#REF!,0,0)</f>
        <v>#REF!</v>
      </c>
      <c r="I119" s="75" t="e">
        <f>_xlfn.XLOOKUP(B119,#REF!,#REF!,0,0)</f>
        <v>#REF!</v>
      </c>
    </row>
    <row r="120" spans="1:10" ht="23.25" customHeight="1">
      <c r="A120" s="5" t="s">
        <v>326</v>
      </c>
      <c r="B120" s="34">
        <v>4008</v>
      </c>
      <c r="C120" s="9" t="s">
        <v>334</v>
      </c>
      <c r="D120" s="6" t="s">
        <v>335</v>
      </c>
      <c r="E120" s="15">
        <v>25</v>
      </c>
      <c r="F120" s="67" t="s">
        <v>336</v>
      </c>
      <c r="G120" s="110"/>
      <c r="H120" s="79" t="e">
        <f>_xlfn.XLOOKUP(B120,#REF!,#REF!,0,0)</f>
        <v>#REF!</v>
      </c>
      <c r="I120" s="75" t="e">
        <f>_xlfn.XLOOKUP(B120,#REF!,#REF!,0,0)</f>
        <v>#REF!</v>
      </c>
    </row>
    <row r="121" spans="1:10" ht="23.25" customHeight="1">
      <c r="A121" s="5" t="s">
        <v>326</v>
      </c>
      <c r="B121" s="34">
        <v>4009</v>
      </c>
      <c r="C121" s="6" t="s">
        <v>337</v>
      </c>
      <c r="D121" s="6" t="s">
        <v>338</v>
      </c>
      <c r="E121" s="15">
        <v>25</v>
      </c>
      <c r="F121" s="67" t="s">
        <v>339</v>
      </c>
      <c r="G121" s="110"/>
      <c r="H121" s="79" t="e">
        <f>_xlfn.XLOOKUP(B121,#REF!,#REF!,0,0)</f>
        <v>#REF!</v>
      </c>
      <c r="I121" s="75" t="e">
        <f>_xlfn.XLOOKUP(B121,#REF!,#REF!,0,0)</f>
        <v>#REF!</v>
      </c>
    </row>
    <row r="122" spans="1:10" s="28" customFormat="1" ht="23.25" customHeight="1">
      <c r="A122" s="10" t="s">
        <v>326</v>
      </c>
      <c r="B122" s="18">
        <v>4010</v>
      </c>
      <c r="C122" s="6" t="s">
        <v>340</v>
      </c>
      <c r="D122" s="6" t="s">
        <v>341</v>
      </c>
      <c r="E122" s="15">
        <v>25</v>
      </c>
      <c r="F122" s="260" t="s">
        <v>342</v>
      </c>
      <c r="G122" s="231"/>
      <c r="H122" s="261" t="e">
        <f>_xlfn.XLOOKUP(B122,#REF!,#REF!,0,0)</f>
        <v>#REF!</v>
      </c>
      <c r="I122" s="80" t="e">
        <f>_xlfn.XLOOKUP(B122,#REF!,#REF!,0,0)</f>
        <v>#REF!</v>
      </c>
      <c r="J122" s="87"/>
    </row>
    <row r="123" spans="1:10" ht="23.25" customHeight="1">
      <c r="A123" s="5" t="s">
        <v>326</v>
      </c>
      <c r="B123" s="34">
        <v>4011</v>
      </c>
      <c r="C123" s="250" t="s">
        <v>343</v>
      </c>
      <c r="D123" s="6" t="s">
        <v>344</v>
      </c>
      <c r="E123" s="15">
        <v>25</v>
      </c>
      <c r="F123" s="251" t="s">
        <v>331</v>
      </c>
      <c r="G123" s="110"/>
      <c r="H123" s="79" t="e">
        <f>_xlfn.XLOOKUP(B123,#REF!,#REF!,0,0)</f>
        <v>#REF!</v>
      </c>
      <c r="I123" s="75" t="e">
        <f>_xlfn.XLOOKUP(B123,#REF!,#REF!,0,0)</f>
        <v>#REF!</v>
      </c>
    </row>
    <row r="124" spans="1:10" ht="23.25" customHeight="1">
      <c r="A124" s="5" t="s">
        <v>326</v>
      </c>
      <c r="B124" s="34">
        <v>4012</v>
      </c>
      <c r="C124" s="6" t="s">
        <v>345</v>
      </c>
      <c r="D124" s="158" t="s">
        <v>346</v>
      </c>
      <c r="E124" s="15">
        <v>25</v>
      </c>
      <c r="F124" s="62" t="s">
        <v>347</v>
      </c>
      <c r="G124" s="110"/>
      <c r="H124" s="79" t="e">
        <f>_xlfn.XLOOKUP(B124,#REF!,#REF!,0,0)</f>
        <v>#REF!</v>
      </c>
      <c r="I124" s="75" t="e">
        <f>_xlfn.XLOOKUP(B124,#REF!,#REF!,0,0)</f>
        <v>#REF!</v>
      </c>
    </row>
    <row r="125" spans="1:10" ht="23.25" customHeight="1">
      <c r="A125" s="5" t="s">
        <v>348</v>
      </c>
      <c r="B125" s="34">
        <v>4013</v>
      </c>
      <c r="C125" s="6" t="s">
        <v>349</v>
      </c>
      <c r="D125" s="6" t="s">
        <v>350</v>
      </c>
      <c r="E125" s="15">
        <v>25</v>
      </c>
      <c r="F125" s="62" t="s">
        <v>351</v>
      </c>
      <c r="G125" s="110"/>
      <c r="H125" s="79" t="e">
        <f>_xlfn.XLOOKUP(B125,#REF!,#REF!,0,0)</f>
        <v>#REF!</v>
      </c>
      <c r="I125" s="75" t="e">
        <f>_xlfn.XLOOKUP(B125,#REF!,#REF!,0,0)</f>
        <v>#REF!</v>
      </c>
    </row>
    <row r="126" spans="1:10" ht="23.25" customHeight="1">
      <c r="A126" s="5" t="s">
        <v>326</v>
      </c>
      <c r="B126" s="34">
        <v>4014</v>
      </c>
      <c r="C126" s="6" t="s">
        <v>352</v>
      </c>
      <c r="D126" s="6" t="s">
        <v>353</v>
      </c>
      <c r="E126" s="15">
        <v>25</v>
      </c>
      <c r="F126" s="67" t="s">
        <v>354</v>
      </c>
      <c r="G126" s="110"/>
      <c r="H126" s="79" t="e">
        <f>_xlfn.XLOOKUP(B126,#REF!,#REF!,0,0)</f>
        <v>#REF!</v>
      </c>
      <c r="I126" s="75" t="e">
        <f>_xlfn.XLOOKUP(B126,#REF!,#REF!,0,0)</f>
        <v>#REF!</v>
      </c>
    </row>
    <row r="127" spans="1:10" ht="23.25" customHeight="1">
      <c r="A127" s="5" t="s">
        <v>326</v>
      </c>
      <c r="B127" s="34">
        <v>4015</v>
      </c>
      <c r="C127" s="6" t="s">
        <v>355</v>
      </c>
      <c r="D127" s="6" t="s">
        <v>44</v>
      </c>
      <c r="E127" s="15">
        <v>25</v>
      </c>
      <c r="F127" s="67" t="s">
        <v>354</v>
      </c>
      <c r="G127" s="110"/>
      <c r="H127" s="79" t="e">
        <f>_xlfn.XLOOKUP(B127,#REF!,#REF!,0,0)</f>
        <v>#REF!</v>
      </c>
      <c r="I127" s="75" t="e">
        <f>_xlfn.XLOOKUP(B127,#REF!,#REF!,0,0)</f>
        <v>#REF!</v>
      </c>
    </row>
    <row r="128" spans="1:10" ht="23.25" customHeight="1">
      <c r="A128" s="5" t="s">
        <v>326</v>
      </c>
      <c r="B128" s="34">
        <v>4016</v>
      </c>
      <c r="C128" s="250" t="s">
        <v>356</v>
      </c>
      <c r="D128" s="9" t="s">
        <v>357</v>
      </c>
      <c r="E128" s="15">
        <v>25</v>
      </c>
      <c r="F128" s="67" t="s">
        <v>336</v>
      </c>
      <c r="G128" s="110"/>
      <c r="H128" s="79" t="e">
        <f>_xlfn.XLOOKUP(B128,#REF!,#REF!,0,0)</f>
        <v>#REF!</v>
      </c>
      <c r="I128" s="75" t="e">
        <f>_xlfn.XLOOKUP(B128,#REF!,#REF!,0,0)</f>
        <v>#REF!</v>
      </c>
    </row>
    <row r="129" spans="1:10" s="27" customFormat="1" ht="23.25" customHeight="1">
      <c r="A129" s="5" t="s">
        <v>358</v>
      </c>
      <c r="B129" s="34">
        <v>4018</v>
      </c>
      <c r="C129" s="6" t="s">
        <v>359</v>
      </c>
      <c r="D129" s="6" t="s">
        <v>360</v>
      </c>
      <c r="E129" s="15">
        <v>25</v>
      </c>
      <c r="F129" s="62" t="s">
        <v>361</v>
      </c>
      <c r="G129" s="229"/>
      <c r="H129" s="79" t="e">
        <f>_xlfn.XLOOKUP(B129,#REF!,#REF!,0,0)</f>
        <v>#REF!</v>
      </c>
      <c r="I129" s="75" t="e">
        <f>_xlfn.XLOOKUP(B129,#REF!,#REF!,0,0)</f>
        <v>#REF!</v>
      </c>
      <c r="J129" s="87"/>
    </row>
    <row r="130" spans="1:10" s="27" customFormat="1" ht="23.25" customHeight="1">
      <c r="A130" s="10" t="s">
        <v>362</v>
      </c>
      <c r="B130" s="18">
        <v>4019</v>
      </c>
      <c r="C130" s="6" t="s">
        <v>363</v>
      </c>
      <c r="D130" s="6" t="s">
        <v>364</v>
      </c>
      <c r="E130" s="15">
        <v>25</v>
      </c>
      <c r="F130" s="62" t="s">
        <v>342</v>
      </c>
      <c r="G130" s="229"/>
      <c r="H130" s="79" t="e">
        <f>_xlfn.XLOOKUP(B130,#REF!,#REF!,0,0)</f>
        <v>#REF!</v>
      </c>
      <c r="I130" s="75" t="e">
        <f>_xlfn.XLOOKUP(B130,#REF!,#REF!,0,0)</f>
        <v>#REF!</v>
      </c>
      <c r="J130" s="87"/>
    </row>
    <row r="131" spans="1:10" s="27" customFormat="1" ht="23.25" customHeight="1">
      <c r="A131" s="10" t="s">
        <v>365</v>
      </c>
      <c r="B131" s="18">
        <v>4020</v>
      </c>
      <c r="C131" s="6" t="s">
        <v>366</v>
      </c>
      <c r="D131" s="6" t="s">
        <v>367</v>
      </c>
      <c r="E131" s="15">
        <v>25</v>
      </c>
      <c r="F131" s="67" t="s">
        <v>368</v>
      </c>
      <c r="G131" s="229"/>
      <c r="H131" s="79" t="e">
        <f>_xlfn.XLOOKUP(B131,#REF!,#REF!,0,0)</f>
        <v>#REF!</v>
      </c>
      <c r="I131" s="75" t="e">
        <f>_xlfn.XLOOKUP(B131,#REF!,#REF!,0,0)</f>
        <v>#REF!</v>
      </c>
      <c r="J131" s="87"/>
    </row>
    <row r="132" spans="1:10" ht="23.25" customHeight="1">
      <c r="A132" s="10" t="s">
        <v>358</v>
      </c>
      <c r="B132" s="18">
        <v>4021</v>
      </c>
      <c r="C132" s="6" t="s">
        <v>359</v>
      </c>
      <c r="D132" s="6" t="s">
        <v>360</v>
      </c>
      <c r="E132" s="15">
        <v>25</v>
      </c>
      <c r="F132" s="62" t="s">
        <v>361</v>
      </c>
      <c r="G132" s="110"/>
      <c r="H132" s="79" t="e">
        <f>_xlfn.XLOOKUP(B132,#REF!,#REF!,0,0)</f>
        <v>#REF!</v>
      </c>
      <c r="I132" s="75" t="e">
        <f>_xlfn.XLOOKUP(B132,#REF!,#REF!,0,0)</f>
        <v>#REF!</v>
      </c>
    </row>
    <row r="133" spans="1:10" ht="23.25" customHeight="1">
      <c r="A133" s="10" t="s">
        <v>369</v>
      </c>
      <c r="B133" s="18">
        <v>4022</v>
      </c>
      <c r="C133" s="6" t="s">
        <v>366</v>
      </c>
      <c r="D133" s="158" t="s">
        <v>367</v>
      </c>
      <c r="E133" s="15">
        <v>25</v>
      </c>
      <c r="F133" s="62" t="s">
        <v>347</v>
      </c>
      <c r="G133" s="110"/>
      <c r="H133" s="79" t="e">
        <f>_xlfn.XLOOKUP(B133,#REF!,#REF!,0,0)</f>
        <v>#REF!</v>
      </c>
      <c r="I133" s="75" t="e">
        <f>_xlfn.XLOOKUP(B133,#REF!,#REF!,0,0)</f>
        <v>#REF!</v>
      </c>
    </row>
    <row r="134" spans="1:10" ht="23.25" customHeight="1">
      <c r="A134" s="10" t="s">
        <v>370</v>
      </c>
      <c r="B134" s="18">
        <v>4030</v>
      </c>
      <c r="C134" s="9" t="s">
        <v>371</v>
      </c>
      <c r="D134" s="6" t="s">
        <v>372</v>
      </c>
      <c r="E134" s="15">
        <v>25</v>
      </c>
      <c r="F134" s="62" t="s">
        <v>373</v>
      </c>
      <c r="G134" s="110"/>
      <c r="H134" s="79" t="e">
        <f>_xlfn.XLOOKUP(B134,#REF!,#REF!,0,0)</f>
        <v>#REF!</v>
      </c>
      <c r="I134" s="75" t="e">
        <f>_xlfn.XLOOKUP(B134,#REF!,#REF!,0,0)</f>
        <v>#REF!</v>
      </c>
    </row>
    <row r="135" spans="1:10" ht="23.25" customHeight="1">
      <c r="A135" s="21" t="s">
        <v>374</v>
      </c>
      <c r="B135" s="35">
        <v>4031</v>
      </c>
      <c r="C135" s="194" t="s">
        <v>375</v>
      </c>
      <c r="D135" s="194" t="s">
        <v>375</v>
      </c>
      <c r="E135" s="22">
        <v>25</v>
      </c>
      <c r="F135" s="66" t="s">
        <v>376</v>
      </c>
      <c r="G135" s="231"/>
      <c r="H135" s="79" t="s">
        <v>237</v>
      </c>
      <c r="I135" s="75" t="e">
        <f>_xlfn.XLOOKUP(B135,#REF!,#REF!,0,0)</f>
        <v>#REF!</v>
      </c>
    </row>
    <row r="136" spans="1:10" ht="23.25" customHeight="1">
      <c r="A136" s="5" t="s">
        <v>370</v>
      </c>
      <c r="B136" s="34">
        <v>4035</v>
      </c>
      <c r="C136" s="6" t="s">
        <v>371</v>
      </c>
      <c r="D136" s="6" t="s">
        <v>372</v>
      </c>
      <c r="E136" s="15">
        <v>25</v>
      </c>
      <c r="F136" s="62" t="s">
        <v>373</v>
      </c>
      <c r="G136" s="231"/>
      <c r="H136" s="79" t="e">
        <f>_xlfn.XLOOKUP(B136,#REF!,#REF!,0,0)</f>
        <v>#REF!</v>
      </c>
      <c r="I136" s="75" t="e">
        <f>_xlfn.XLOOKUP(B136,#REF!,#REF!,0,0)</f>
        <v>#REF!</v>
      </c>
    </row>
    <row r="137" spans="1:10" ht="23.25" customHeight="1">
      <c r="A137" s="5" t="s">
        <v>377</v>
      </c>
      <c r="B137" s="34">
        <v>4036</v>
      </c>
      <c r="C137" s="6" t="s">
        <v>378</v>
      </c>
      <c r="D137" s="158" t="s">
        <v>379</v>
      </c>
      <c r="E137" s="15">
        <v>25</v>
      </c>
      <c r="F137" s="62" t="s">
        <v>351</v>
      </c>
      <c r="G137" s="110"/>
      <c r="H137" s="79" t="e">
        <f>_xlfn.XLOOKUP(B137,#REF!,#REF!,0,0)</f>
        <v>#REF!</v>
      </c>
      <c r="I137" s="75" t="e">
        <f>_xlfn.XLOOKUP(B137,#REF!,#REF!,0,0)</f>
        <v>#REF!</v>
      </c>
    </row>
    <row r="138" spans="1:10" ht="23.25" customHeight="1">
      <c r="A138" s="46" t="s">
        <v>377</v>
      </c>
      <c r="B138" s="47">
        <v>4037</v>
      </c>
      <c r="C138" s="250" t="s">
        <v>380</v>
      </c>
      <c r="D138" s="158" t="s">
        <v>381</v>
      </c>
      <c r="E138" s="252">
        <v>25</v>
      </c>
      <c r="F138" s="251" t="s">
        <v>368</v>
      </c>
      <c r="G138" s="110"/>
      <c r="H138" s="79" t="e">
        <f>_xlfn.XLOOKUP(B138,#REF!,#REF!,0,0)</f>
        <v>#REF!</v>
      </c>
      <c r="I138" s="75" t="e">
        <f>_xlfn.XLOOKUP(B138,#REF!,#REF!,0,0)</f>
        <v>#REF!</v>
      </c>
    </row>
    <row r="139" spans="1:10" ht="23.25" customHeight="1">
      <c r="A139" s="46" t="s">
        <v>382</v>
      </c>
      <c r="B139" s="47">
        <v>4040</v>
      </c>
      <c r="C139" s="158" t="s">
        <v>383</v>
      </c>
      <c r="D139" s="158" t="s">
        <v>384</v>
      </c>
      <c r="E139" s="252">
        <v>25</v>
      </c>
      <c r="F139" s="251" t="s">
        <v>385</v>
      </c>
      <c r="G139" s="110"/>
      <c r="H139" s="79" t="e">
        <f>_xlfn.XLOOKUP(B139,#REF!,#REF!,0,0)</f>
        <v>#REF!</v>
      </c>
      <c r="I139" s="75" t="e">
        <f>_xlfn.XLOOKUP(B139,#REF!,#REF!,0,0)</f>
        <v>#REF!</v>
      </c>
    </row>
    <row r="140" spans="1:10" ht="23.25" customHeight="1">
      <c r="A140" s="46" t="s">
        <v>386</v>
      </c>
      <c r="B140" s="47">
        <v>4041</v>
      </c>
      <c r="C140" s="250" t="s">
        <v>332</v>
      </c>
      <c r="D140" s="6" t="s">
        <v>333</v>
      </c>
      <c r="E140" s="252">
        <v>25</v>
      </c>
      <c r="F140" s="253" t="s">
        <v>385</v>
      </c>
      <c r="G140" s="110"/>
      <c r="H140" s="79" t="e">
        <f>_xlfn.XLOOKUP(B140,#REF!,#REF!,0,0)</f>
        <v>#REF!</v>
      </c>
      <c r="I140" s="75" t="e">
        <f>_xlfn.XLOOKUP(B140,#REF!,#REF!,0,0)</f>
        <v>#REF!</v>
      </c>
    </row>
    <row r="141" spans="1:10" ht="23.25" customHeight="1">
      <c r="A141" s="198" t="s">
        <v>271</v>
      </c>
      <c r="B141" s="199"/>
      <c r="C141" s="200" t="s">
        <v>272</v>
      </c>
      <c r="D141" s="200" t="s">
        <v>273</v>
      </c>
      <c r="E141" s="201">
        <v>25</v>
      </c>
      <c r="F141" s="202" t="s">
        <v>274</v>
      </c>
      <c r="G141" s="231"/>
      <c r="H141" s="79" t="s">
        <v>237</v>
      </c>
      <c r="I141" s="75"/>
    </row>
    <row r="142" spans="1:10" ht="23.25" customHeight="1">
      <c r="A142" s="119" t="s">
        <v>133</v>
      </c>
      <c r="B142" s="120"/>
      <c r="C142" s="121" t="s">
        <v>387</v>
      </c>
      <c r="D142" s="107"/>
      <c r="E142" s="108"/>
      <c r="F142" s="109"/>
      <c r="G142" s="110"/>
      <c r="H142" s="79"/>
      <c r="I142" s="75"/>
    </row>
    <row r="143" spans="1:10" ht="23.25" customHeight="1">
      <c r="A143" s="98" t="s">
        <v>388</v>
      </c>
      <c r="B143" s="99"/>
      <c r="C143" s="82" t="s">
        <v>389</v>
      </c>
      <c r="D143" s="83" t="s">
        <v>383</v>
      </c>
      <c r="E143" s="96"/>
      <c r="F143" s="85" t="s">
        <v>390</v>
      </c>
      <c r="G143" s="6"/>
      <c r="H143" s="79"/>
      <c r="I143" s="75"/>
    </row>
    <row r="144" spans="1:10" ht="23.25" customHeight="1">
      <c r="A144" s="98" t="s">
        <v>391</v>
      </c>
      <c r="B144" s="99"/>
      <c r="C144" s="161" t="s">
        <v>392</v>
      </c>
      <c r="D144" s="266" t="s">
        <v>393</v>
      </c>
      <c r="E144" s="96"/>
      <c r="F144" s="85" t="s">
        <v>394</v>
      </c>
      <c r="G144" s="110"/>
      <c r="H144" s="79"/>
      <c r="I144" s="75"/>
    </row>
    <row r="145" spans="1:9" ht="23.25" customHeight="1">
      <c r="A145" s="98" t="s">
        <v>391</v>
      </c>
      <c r="B145" s="99"/>
      <c r="C145" s="91"/>
      <c r="D145" s="83"/>
      <c r="E145" s="96"/>
      <c r="F145" s="85" t="s">
        <v>351</v>
      </c>
      <c r="G145" s="110"/>
      <c r="H145" s="79"/>
      <c r="I145" s="75"/>
    </row>
    <row r="146" spans="1:9" ht="23.25" customHeight="1">
      <c r="A146" s="98" t="s">
        <v>391</v>
      </c>
      <c r="B146" s="99"/>
      <c r="C146" s="82"/>
      <c r="D146" s="83"/>
      <c r="E146" s="96"/>
      <c r="F146" s="85"/>
      <c r="G146" s="110"/>
      <c r="H146" s="79"/>
      <c r="I146" s="75"/>
    </row>
    <row r="147" spans="1:9" ht="23.25" customHeight="1">
      <c r="A147" s="98" t="s">
        <v>391</v>
      </c>
      <c r="B147" s="99"/>
      <c r="C147" s="82"/>
      <c r="D147" s="83"/>
      <c r="E147" s="96"/>
      <c r="F147" s="85"/>
      <c r="G147" s="110"/>
      <c r="H147" s="79"/>
      <c r="I147" s="75"/>
    </row>
    <row r="148" spans="1:9" ht="23.25" customHeight="1" thickBot="1">
      <c r="A148" s="98" t="s">
        <v>391</v>
      </c>
      <c r="B148" s="99"/>
      <c r="C148" s="82"/>
      <c r="D148" s="83"/>
      <c r="E148" s="96"/>
      <c r="F148" s="85"/>
      <c r="G148" s="110"/>
      <c r="H148" s="79"/>
      <c r="I148" s="75"/>
    </row>
    <row r="149" spans="1:9" ht="23.25" customHeight="1" thickBot="1">
      <c r="A149" s="40" t="s">
        <v>395</v>
      </c>
      <c r="B149" s="43" t="s">
        <v>9</v>
      </c>
      <c r="C149" s="44" t="s">
        <v>10</v>
      </c>
      <c r="D149" s="44" t="s">
        <v>11</v>
      </c>
      <c r="E149" s="41" t="s">
        <v>12</v>
      </c>
      <c r="F149" s="65" t="s">
        <v>13</v>
      </c>
      <c r="G149" s="110"/>
      <c r="H149" s="79"/>
      <c r="I149" s="75"/>
    </row>
    <row r="150" spans="1:9" ht="23.25" customHeight="1">
      <c r="A150" s="122" t="s">
        <v>396</v>
      </c>
      <c r="B150" s="51">
        <v>5000</v>
      </c>
      <c r="C150" s="10" t="s">
        <v>397</v>
      </c>
      <c r="D150" s="10" t="s">
        <v>398</v>
      </c>
      <c r="E150" s="49">
        <v>25</v>
      </c>
      <c r="F150" s="63" t="s">
        <v>399</v>
      </c>
      <c r="G150" s="231"/>
      <c r="H150" s="79"/>
      <c r="I150" s="75"/>
    </row>
    <row r="151" spans="1:9" ht="23.25" customHeight="1">
      <c r="A151" s="5" t="s">
        <v>400</v>
      </c>
      <c r="B151" s="34">
        <v>5001</v>
      </c>
      <c r="C151" s="50" t="s">
        <v>401</v>
      </c>
      <c r="D151" s="50" t="s">
        <v>402</v>
      </c>
      <c r="E151" s="8">
        <v>25</v>
      </c>
      <c r="F151" s="125" t="s">
        <v>399</v>
      </c>
      <c r="G151" s="231"/>
      <c r="H151" s="79" t="e">
        <f>_xlfn.XLOOKUP(B151,#REF!,#REF!,0,0)</f>
        <v>#REF!</v>
      </c>
      <c r="I151" s="75" t="e">
        <f>_xlfn.XLOOKUP(B151,#REF!,#REF!,0,0)</f>
        <v>#REF!</v>
      </c>
    </row>
    <row r="152" spans="1:9" ht="23.25" customHeight="1">
      <c r="A152" s="5" t="s">
        <v>403</v>
      </c>
      <c r="B152" s="34">
        <v>5002</v>
      </c>
      <c r="C152" s="50" t="s">
        <v>404</v>
      </c>
      <c r="D152" s="122" t="s">
        <v>405</v>
      </c>
      <c r="E152" s="8">
        <v>25</v>
      </c>
      <c r="F152" s="125" t="s">
        <v>406</v>
      </c>
      <c r="G152" s="232"/>
      <c r="H152" s="79" t="e">
        <f>_xlfn.XLOOKUP(B152,#REF!,#REF!,0,0)</f>
        <v>#REF!</v>
      </c>
      <c r="I152" s="75" t="e">
        <f>_xlfn.XLOOKUP(B152,#REF!,#REF!,0,0)</f>
        <v>#REF!</v>
      </c>
    </row>
    <row r="153" spans="1:9" ht="23.25" customHeight="1">
      <c r="A153" s="5" t="s">
        <v>403</v>
      </c>
      <c r="B153" s="34">
        <v>5003</v>
      </c>
      <c r="C153" s="50" t="s">
        <v>407</v>
      </c>
      <c r="D153" s="122" t="s">
        <v>408</v>
      </c>
      <c r="E153" s="8">
        <v>25</v>
      </c>
      <c r="F153" s="125" t="s">
        <v>406</v>
      </c>
      <c r="G153" s="110"/>
      <c r="H153" s="79" t="e">
        <f>_xlfn.XLOOKUP(B153,#REF!,#REF!,0,0)</f>
        <v>#REF!</v>
      </c>
      <c r="I153" s="75" t="e">
        <f>_xlfn.XLOOKUP(B153,#REF!,#REF!,0,0)</f>
        <v>#REF!</v>
      </c>
    </row>
    <row r="154" spans="1:9" ht="23.25" customHeight="1">
      <c r="A154" s="5" t="s">
        <v>409</v>
      </c>
      <c r="B154" s="34">
        <v>5004</v>
      </c>
      <c r="C154" s="177" t="s">
        <v>410</v>
      </c>
      <c r="D154" s="177" t="s">
        <v>411</v>
      </c>
      <c r="E154" s="8">
        <v>25</v>
      </c>
      <c r="F154" s="125" t="s">
        <v>412</v>
      </c>
      <c r="G154" s="110"/>
      <c r="H154" s="79" t="e">
        <f>_xlfn.XLOOKUP(B154,#REF!,#REF!,0,0)</f>
        <v>#REF!</v>
      </c>
      <c r="I154" s="75" t="e">
        <f>_xlfn.XLOOKUP(B154,#REF!,#REF!,0,0)</f>
        <v>#REF!</v>
      </c>
    </row>
    <row r="155" spans="1:9" ht="23.25" customHeight="1">
      <c r="A155" s="5" t="s">
        <v>409</v>
      </c>
      <c r="B155" s="34">
        <v>5005</v>
      </c>
      <c r="C155" s="177" t="s">
        <v>413</v>
      </c>
      <c r="D155" s="177" t="s">
        <v>414</v>
      </c>
      <c r="E155" s="8">
        <v>25</v>
      </c>
      <c r="F155" s="125" t="s">
        <v>412</v>
      </c>
      <c r="G155" s="110"/>
      <c r="H155" s="79" t="e">
        <f>_xlfn.XLOOKUP(B155,#REF!,#REF!,0,0)</f>
        <v>#REF!</v>
      </c>
      <c r="I155" s="75" t="e">
        <f>_xlfn.XLOOKUP(B155,#REF!,#REF!,0,0)</f>
        <v>#REF!</v>
      </c>
    </row>
    <row r="156" spans="1:9" ht="23.25" customHeight="1">
      <c r="A156" s="5" t="s">
        <v>403</v>
      </c>
      <c r="B156" s="34">
        <v>5006</v>
      </c>
      <c r="C156" s="122" t="s">
        <v>415</v>
      </c>
      <c r="D156" s="50" t="s">
        <v>416</v>
      </c>
      <c r="E156" s="8">
        <v>25</v>
      </c>
      <c r="F156" s="125" t="s">
        <v>417</v>
      </c>
      <c r="G156" s="110"/>
      <c r="H156" s="79" t="e">
        <f>_xlfn.XLOOKUP(B156,#REF!,#REF!,0,0)</f>
        <v>#REF!</v>
      </c>
      <c r="I156" s="75" t="e">
        <f>_xlfn.XLOOKUP(B156,#REF!,#REF!,0,0)</f>
        <v>#REF!</v>
      </c>
    </row>
    <row r="157" spans="1:9" ht="23.25" customHeight="1">
      <c r="A157" s="5" t="s">
        <v>403</v>
      </c>
      <c r="B157" s="34">
        <v>5068</v>
      </c>
      <c r="C157" s="50" t="s">
        <v>418</v>
      </c>
      <c r="D157" s="50" t="s">
        <v>419</v>
      </c>
      <c r="E157" s="8">
        <v>25</v>
      </c>
      <c r="F157" s="126" t="s">
        <v>420</v>
      </c>
      <c r="G157" s="280" t="s">
        <v>421</v>
      </c>
      <c r="H157" s="79" t="e">
        <f>_xlfn.XLOOKUP(B157,#REF!,#REF!,0,0)</f>
        <v>#REF!</v>
      </c>
      <c r="I157" s="75" t="e">
        <f>_xlfn.XLOOKUP(B157,#REF!,#REF!,0,0)</f>
        <v>#REF!</v>
      </c>
    </row>
    <row r="158" spans="1:9" ht="23.25" customHeight="1">
      <c r="A158" s="5" t="s">
        <v>403</v>
      </c>
      <c r="B158" s="34">
        <v>5007</v>
      </c>
      <c r="C158" s="50" t="s">
        <v>422</v>
      </c>
      <c r="D158" s="50" t="s">
        <v>423</v>
      </c>
      <c r="E158" s="8">
        <v>25</v>
      </c>
      <c r="F158" s="126" t="s">
        <v>417</v>
      </c>
      <c r="G158" s="281">
        <f>COUNTA(_xlfn.UNIQUE(F150:F224))</f>
        <v>46</v>
      </c>
      <c r="H158" s="181" t="e">
        <f>_xlfn.XLOOKUP(B158,#REF!,#REF!,0,0)</f>
        <v>#REF!</v>
      </c>
      <c r="I158" s="75" t="e">
        <f>_xlfn.XLOOKUP(B158,#REF!,#REF!,0,0)</f>
        <v>#REF!</v>
      </c>
    </row>
    <row r="159" spans="1:9" ht="23.25" customHeight="1">
      <c r="A159" s="5" t="s">
        <v>403</v>
      </c>
      <c r="B159" s="34">
        <v>5069</v>
      </c>
      <c r="C159" s="50" t="s">
        <v>424</v>
      </c>
      <c r="D159" s="50" t="s">
        <v>425</v>
      </c>
      <c r="E159" s="8">
        <v>25</v>
      </c>
      <c r="F159" s="126" t="s">
        <v>420</v>
      </c>
      <c r="G159" s="281">
        <f>COUNTA(_xlfn.UNIQUE(C150:C223,))</f>
        <v>60</v>
      </c>
      <c r="H159" s="181" t="e">
        <f>_xlfn.XLOOKUP(B159,#REF!,#REF!,0,0)</f>
        <v>#REF!</v>
      </c>
      <c r="I159" s="75" t="e">
        <f>_xlfn.XLOOKUP(B159,#REF!,#REF!,0,0)</f>
        <v>#REF!</v>
      </c>
    </row>
    <row r="160" spans="1:9" ht="23.25" customHeight="1">
      <c r="A160" s="5" t="s">
        <v>403</v>
      </c>
      <c r="B160" s="34">
        <v>5008</v>
      </c>
      <c r="C160" s="50" t="s">
        <v>426</v>
      </c>
      <c r="D160" s="50" t="s">
        <v>427</v>
      </c>
      <c r="E160" s="8">
        <v>25</v>
      </c>
      <c r="F160" s="125" t="s">
        <v>428</v>
      </c>
      <c r="G160" s="281">
        <f>COUNTA(_xlfn.UNIQUE(D150:D224))</f>
        <v>63</v>
      </c>
      <c r="H160" s="181" t="e">
        <f>_xlfn.XLOOKUP(B160,#REF!,#REF!,0,0)</f>
        <v>#REF!</v>
      </c>
      <c r="I160" s="75" t="e">
        <f>_xlfn.XLOOKUP(B160,#REF!,#REF!,0,0)</f>
        <v>#REF!</v>
      </c>
    </row>
    <row r="161" spans="1:9" ht="23.25" customHeight="1">
      <c r="A161" s="5" t="s">
        <v>403</v>
      </c>
      <c r="B161" s="34">
        <v>5009</v>
      </c>
      <c r="C161" s="123" t="s">
        <v>426</v>
      </c>
      <c r="D161" s="50" t="s">
        <v>427</v>
      </c>
      <c r="E161" s="8">
        <v>25</v>
      </c>
      <c r="F161" s="125" t="s">
        <v>428</v>
      </c>
      <c r="G161" s="281">
        <f>COUNTA(_xlfn.UNIQUE(C234:D240))</f>
        <v>14</v>
      </c>
      <c r="H161" s="79" t="e">
        <f>_xlfn.XLOOKUP(B161,#REF!,#REF!,0,0)</f>
        <v>#REF!</v>
      </c>
      <c r="I161" s="75" t="e">
        <f>_xlfn.XLOOKUP(B161,#REF!,#REF!,0,0)</f>
        <v>#REF!</v>
      </c>
    </row>
    <row r="162" spans="1:9" ht="23.25" customHeight="1">
      <c r="A162" s="5" t="s">
        <v>403</v>
      </c>
      <c r="B162" s="34">
        <v>5010</v>
      </c>
      <c r="C162" s="123" t="s">
        <v>429</v>
      </c>
      <c r="D162" s="122" t="s">
        <v>430</v>
      </c>
      <c r="E162" s="8">
        <v>25</v>
      </c>
      <c r="F162" s="125" t="s">
        <v>431</v>
      </c>
      <c r="G162" s="281">
        <f>SUM(G158:G161)</f>
        <v>183</v>
      </c>
      <c r="H162" s="79" t="e">
        <f>_xlfn.XLOOKUP(B162,#REF!,#REF!,0,0)</f>
        <v>#REF!</v>
      </c>
      <c r="I162" s="75" t="e">
        <f>_xlfn.XLOOKUP(B162,#REF!,#REF!,0,0)</f>
        <v>#REF!</v>
      </c>
    </row>
    <row r="163" spans="1:9" ht="23.25" customHeight="1">
      <c r="A163" s="5" t="s">
        <v>403</v>
      </c>
      <c r="B163" s="34">
        <v>5011</v>
      </c>
      <c r="C163" s="50" t="s">
        <v>432</v>
      </c>
      <c r="D163" s="125" t="s">
        <v>433</v>
      </c>
      <c r="E163" s="8">
        <v>25</v>
      </c>
      <c r="F163" s="125" t="s">
        <v>434</v>
      </c>
      <c r="G163" s="281"/>
      <c r="H163" s="79" t="e">
        <f>_xlfn.XLOOKUP(B163,#REF!,#REF!,0,0)</f>
        <v>#REF!</v>
      </c>
      <c r="I163" s="76" t="e">
        <f>_xlfn.XLOOKUP(B163,#REF!,#REF!,0,0)</f>
        <v>#REF!</v>
      </c>
    </row>
    <row r="164" spans="1:9" ht="23.25" customHeight="1">
      <c r="A164" s="5" t="s">
        <v>403</v>
      </c>
      <c r="B164" s="18">
        <v>5012</v>
      </c>
      <c r="C164" s="122" t="s">
        <v>435</v>
      </c>
      <c r="D164" s="50" t="s">
        <v>436</v>
      </c>
      <c r="E164" s="8">
        <v>75</v>
      </c>
      <c r="F164" s="125" t="s">
        <v>437</v>
      </c>
      <c r="G164" s="110"/>
      <c r="H164" s="79" t="e">
        <f>_xlfn.XLOOKUP(B164,#REF!,#REF!,0,0)</f>
        <v>#REF!</v>
      </c>
      <c r="I164" s="75" t="e">
        <f>_xlfn.XLOOKUP(B164,#REF!,#REF!,0,0)</f>
        <v>#REF!</v>
      </c>
    </row>
    <row r="165" spans="1:9" ht="23.25" customHeight="1">
      <c r="A165" s="5" t="s">
        <v>403</v>
      </c>
      <c r="B165" s="18">
        <v>5013</v>
      </c>
      <c r="C165" s="50" t="s">
        <v>438</v>
      </c>
      <c r="D165" s="122" t="s">
        <v>439</v>
      </c>
      <c r="E165" s="8">
        <v>25</v>
      </c>
      <c r="F165" s="125" t="s">
        <v>434</v>
      </c>
      <c r="G165" s="110"/>
      <c r="H165" s="79" t="e">
        <f>_xlfn.XLOOKUP(B165,#REF!,#REF!,0,0)</f>
        <v>#REF!</v>
      </c>
      <c r="I165" s="75" t="e">
        <f>_xlfn.XLOOKUP(B165,#REF!,#REF!,0,0)</f>
        <v>#REF!</v>
      </c>
    </row>
    <row r="166" spans="1:9" ht="23.25" customHeight="1">
      <c r="A166" s="5" t="s">
        <v>403</v>
      </c>
      <c r="B166" s="18">
        <v>5014</v>
      </c>
      <c r="C166" s="50" t="s">
        <v>440</v>
      </c>
      <c r="D166" s="50" t="s">
        <v>441</v>
      </c>
      <c r="E166" s="8">
        <v>25</v>
      </c>
      <c r="F166" s="125" t="s">
        <v>442</v>
      </c>
      <c r="G166" s="110"/>
      <c r="H166" s="79" t="e">
        <f>_xlfn.XLOOKUP(B166,#REF!,#REF!,0,0)</f>
        <v>#REF!</v>
      </c>
      <c r="I166" s="75" t="e">
        <f>_xlfn.XLOOKUP(B166,#REF!,#REF!,0,0)</f>
        <v>#REF!</v>
      </c>
    </row>
    <row r="167" spans="1:9" ht="23.25" customHeight="1">
      <c r="A167" s="5" t="s">
        <v>403</v>
      </c>
      <c r="B167" s="18">
        <v>5015</v>
      </c>
      <c r="C167" s="50" t="s">
        <v>443</v>
      </c>
      <c r="D167" s="50" t="s">
        <v>444</v>
      </c>
      <c r="E167" s="8">
        <v>25</v>
      </c>
      <c r="F167" s="125" t="s">
        <v>442</v>
      </c>
      <c r="G167" s="110"/>
      <c r="H167" s="79" t="e">
        <f>_xlfn.XLOOKUP(B167,#REF!,#REF!,0,0)</f>
        <v>#REF!</v>
      </c>
      <c r="I167" s="76" t="e">
        <f>_xlfn.XLOOKUP(B167,#REF!,#REF!,0,0)</f>
        <v>#REF!</v>
      </c>
    </row>
    <row r="168" spans="1:9" ht="23.25" customHeight="1">
      <c r="A168" s="5" t="s">
        <v>403</v>
      </c>
      <c r="B168" s="18">
        <v>5016</v>
      </c>
      <c r="C168" s="17" t="s">
        <v>445</v>
      </c>
      <c r="D168" s="50" t="s">
        <v>446</v>
      </c>
      <c r="E168" s="8">
        <v>25</v>
      </c>
      <c r="F168" s="50" t="s">
        <v>447</v>
      </c>
      <c r="G168" s="110"/>
      <c r="H168" s="79" t="e">
        <f>_xlfn.XLOOKUP(B168,#REF!,#REF!,0,0)</f>
        <v>#REF!</v>
      </c>
      <c r="I168" s="75" t="e">
        <f>_xlfn.XLOOKUP(B168,#REF!,#REF!,0,0)</f>
        <v>#REF!</v>
      </c>
    </row>
    <row r="169" spans="1:9" ht="23.25" customHeight="1">
      <c r="A169" s="5" t="s">
        <v>403</v>
      </c>
      <c r="B169" s="18">
        <v>5017</v>
      </c>
      <c r="C169" s="125" t="s">
        <v>448</v>
      </c>
      <c r="D169" s="50" t="s">
        <v>449</v>
      </c>
      <c r="E169" s="8">
        <v>25</v>
      </c>
      <c r="F169" s="125" t="s">
        <v>447</v>
      </c>
      <c r="G169" s="110"/>
      <c r="H169" s="79" t="e">
        <f>_xlfn.XLOOKUP(B169,#REF!,#REF!,0,0)</f>
        <v>#REF!</v>
      </c>
      <c r="I169" s="75" t="e">
        <f>_xlfn.XLOOKUP(B169,#REF!,#REF!,0,0)</f>
        <v>#REF!</v>
      </c>
    </row>
    <row r="170" spans="1:9" ht="23.25" customHeight="1">
      <c r="A170" s="5" t="s">
        <v>450</v>
      </c>
      <c r="B170" s="18">
        <v>5018</v>
      </c>
      <c r="C170" s="10" t="s">
        <v>451</v>
      </c>
      <c r="D170" s="50" t="s">
        <v>452</v>
      </c>
      <c r="E170" s="8">
        <v>75</v>
      </c>
      <c r="F170" s="125" t="s">
        <v>453</v>
      </c>
      <c r="G170" s="110"/>
      <c r="H170" s="79" t="e">
        <f>_xlfn.XLOOKUP(B170,#REF!,#REF!,0,0)</f>
        <v>#REF!</v>
      </c>
      <c r="I170" s="75" t="e">
        <f>_xlfn.XLOOKUP(B170,#REF!,#REF!,0,0)</f>
        <v>#REF!</v>
      </c>
    </row>
    <row r="171" spans="1:9" ht="23.25" customHeight="1">
      <c r="A171" s="5" t="s">
        <v>450</v>
      </c>
      <c r="B171" s="18">
        <v>5019</v>
      </c>
      <c r="C171" s="50" t="s">
        <v>454</v>
      </c>
      <c r="D171" s="50" t="s">
        <v>455</v>
      </c>
      <c r="E171" s="8">
        <v>25</v>
      </c>
      <c r="F171" s="16" t="s">
        <v>453</v>
      </c>
      <c r="G171" s="110"/>
      <c r="H171" s="79" t="e">
        <f>_xlfn.XLOOKUP(B171,#REF!,#REF!,0,0)</f>
        <v>#REF!</v>
      </c>
      <c r="I171" s="75" t="e">
        <f>_xlfn.XLOOKUP(B171,#REF!,#REF!,0,0)</f>
        <v>#REF!</v>
      </c>
    </row>
    <row r="172" spans="1:9" ht="23.25" customHeight="1">
      <c r="A172" s="5" t="s">
        <v>450</v>
      </c>
      <c r="B172" s="18">
        <v>5020</v>
      </c>
      <c r="C172" s="50" t="s">
        <v>456</v>
      </c>
      <c r="D172" s="50" t="s">
        <v>457</v>
      </c>
      <c r="E172" s="8">
        <v>75</v>
      </c>
      <c r="F172" s="125" t="s">
        <v>458</v>
      </c>
      <c r="G172" s="234"/>
      <c r="H172" s="79" t="e">
        <f>_xlfn.XLOOKUP(B172,#REF!,#REF!,0,0)</f>
        <v>#REF!</v>
      </c>
      <c r="I172" s="76" t="e">
        <f>_xlfn.XLOOKUP(B172,#REF!,#REF!,0,0)</f>
        <v>#REF!</v>
      </c>
    </row>
    <row r="173" spans="1:9" ht="23.25" customHeight="1">
      <c r="A173" s="5" t="s">
        <v>450</v>
      </c>
      <c r="B173" s="18">
        <v>5070</v>
      </c>
      <c r="C173" s="50" t="s">
        <v>459</v>
      </c>
      <c r="D173" s="50" t="s">
        <v>460</v>
      </c>
      <c r="E173" s="8">
        <v>25</v>
      </c>
      <c r="F173" s="125" t="s">
        <v>461</v>
      </c>
      <c r="G173" s="110"/>
      <c r="H173" s="79" t="e">
        <f>_xlfn.XLOOKUP(B173,#REF!,#REF!,0,0)</f>
        <v>#REF!</v>
      </c>
      <c r="I173" s="75" t="e">
        <f>_xlfn.XLOOKUP(B173,#REF!,#REF!,0,0)</f>
        <v>#REF!</v>
      </c>
    </row>
    <row r="174" spans="1:9" ht="23.25" customHeight="1">
      <c r="A174" s="5" t="s">
        <v>450</v>
      </c>
      <c r="B174" s="18">
        <v>5021</v>
      </c>
      <c r="C174" s="50" t="s">
        <v>462</v>
      </c>
      <c r="D174" s="50" t="s">
        <v>463</v>
      </c>
      <c r="E174" s="8">
        <v>75</v>
      </c>
      <c r="F174" s="286" t="s">
        <v>464</v>
      </c>
      <c r="G174" s="110"/>
      <c r="H174" s="79" t="e">
        <f>_xlfn.XLOOKUP(B174,#REF!,#REF!,0,0)</f>
        <v>#REF!</v>
      </c>
      <c r="I174" s="75" t="e">
        <f>_xlfn.XLOOKUP(B174,#REF!,#REF!,0,0)</f>
        <v>#REF!</v>
      </c>
    </row>
    <row r="175" spans="1:9" ht="23.25" customHeight="1">
      <c r="A175" s="5" t="s">
        <v>450</v>
      </c>
      <c r="B175" s="18">
        <v>5022</v>
      </c>
      <c r="C175" s="50" t="s">
        <v>465</v>
      </c>
      <c r="D175" s="50" t="s">
        <v>466</v>
      </c>
      <c r="E175" s="8">
        <v>75</v>
      </c>
      <c r="F175" s="125" t="s">
        <v>467</v>
      </c>
      <c r="G175" s="110"/>
      <c r="H175" s="79" t="e">
        <f>_xlfn.XLOOKUP(B175,#REF!,#REF!,0,0)</f>
        <v>#REF!</v>
      </c>
      <c r="I175" s="76" t="e">
        <f>_xlfn.XLOOKUP(B175,#REF!,#REF!,0,0)</f>
        <v>#REF!</v>
      </c>
    </row>
    <row r="176" spans="1:9" ht="23.25" customHeight="1">
      <c r="A176" s="5" t="s">
        <v>450</v>
      </c>
      <c r="B176" s="18">
        <v>5023</v>
      </c>
      <c r="C176" s="50" t="s">
        <v>468</v>
      </c>
      <c r="D176" s="50" t="s">
        <v>469</v>
      </c>
      <c r="E176" s="15">
        <v>75</v>
      </c>
      <c r="F176" s="125" t="s">
        <v>470</v>
      </c>
      <c r="G176" s="233"/>
      <c r="H176" s="79" t="e">
        <f>_xlfn.XLOOKUP(B176,#REF!,#REF!,0,0)</f>
        <v>#REF!</v>
      </c>
      <c r="I176" s="75" t="e">
        <f>_xlfn.XLOOKUP(B176,#REF!,#REF!,0,0)</f>
        <v>#REF!</v>
      </c>
    </row>
    <row r="177" spans="1:9" ht="23.25" customHeight="1">
      <c r="A177" s="5" t="s">
        <v>450</v>
      </c>
      <c r="B177" s="18">
        <v>5024</v>
      </c>
      <c r="C177" s="50" t="s">
        <v>468</v>
      </c>
      <c r="D177" s="50" t="s">
        <v>471</v>
      </c>
      <c r="E177" s="8">
        <v>25</v>
      </c>
      <c r="F177" s="126" t="s">
        <v>470</v>
      </c>
      <c r="G177" s="110"/>
      <c r="H177" s="79" t="e">
        <f>_xlfn.XLOOKUP(B177,#REF!,#REF!,0,0)</f>
        <v>#REF!</v>
      </c>
      <c r="I177" s="75" t="e">
        <f>_xlfn.XLOOKUP(B177,#REF!,#REF!,0,0)</f>
        <v>#REF!</v>
      </c>
    </row>
    <row r="178" spans="1:9" ht="23.25" customHeight="1">
      <c r="A178" s="5" t="s">
        <v>450</v>
      </c>
      <c r="B178" s="18">
        <v>5025</v>
      </c>
      <c r="C178" s="50" t="s">
        <v>472</v>
      </c>
      <c r="D178" s="50" t="s">
        <v>473</v>
      </c>
      <c r="E178" s="8">
        <v>25</v>
      </c>
      <c r="F178" s="126" t="s">
        <v>461</v>
      </c>
      <c r="G178" s="110"/>
      <c r="H178" s="79" t="e">
        <f>_xlfn.XLOOKUP(B178,#REF!,#REF!,0,0)</f>
        <v>#REF!</v>
      </c>
      <c r="I178" s="75" t="e">
        <f>_xlfn.XLOOKUP(B178,#REF!,#REF!,0,0)</f>
        <v>#REF!</v>
      </c>
    </row>
    <row r="179" spans="1:9" ht="23.25" customHeight="1">
      <c r="A179" s="5" t="s">
        <v>450</v>
      </c>
      <c r="B179" s="18">
        <v>5026</v>
      </c>
      <c r="C179" s="122" t="s">
        <v>474</v>
      </c>
      <c r="D179" s="212" t="s">
        <v>475</v>
      </c>
      <c r="E179" s="8">
        <v>25</v>
      </c>
      <c r="F179" s="126" t="s">
        <v>476</v>
      </c>
      <c r="G179" s="230"/>
      <c r="H179" s="79" t="e">
        <f>_xlfn.XLOOKUP(B179,#REF!,#REF!,0,0)</f>
        <v>#REF!</v>
      </c>
      <c r="I179" s="75" t="e">
        <f>_xlfn.XLOOKUP(B179,#REF!,#REF!,0,0)</f>
        <v>#REF!</v>
      </c>
    </row>
    <row r="180" spans="1:9" ht="23.25" customHeight="1">
      <c r="A180" s="5" t="s">
        <v>450</v>
      </c>
      <c r="B180" s="18">
        <v>5027</v>
      </c>
      <c r="C180" s="122" t="s">
        <v>448</v>
      </c>
      <c r="D180" s="122" t="s">
        <v>477</v>
      </c>
      <c r="E180" s="8">
        <v>25</v>
      </c>
      <c r="F180" s="125" t="s">
        <v>478</v>
      </c>
      <c r="G180" s="110"/>
      <c r="H180" s="79" t="e">
        <f>_xlfn.XLOOKUP(B180,#REF!,#REF!,0,0)</f>
        <v>#REF!</v>
      </c>
      <c r="I180" s="75" t="e">
        <f>_xlfn.XLOOKUP(B180,#REF!,#REF!,0,0)</f>
        <v>#REF!</v>
      </c>
    </row>
    <row r="181" spans="1:9" ht="23.25" customHeight="1">
      <c r="A181" s="5" t="s">
        <v>450</v>
      </c>
      <c r="B181" s="34">
        <v>5028</v>
      </c>
      <c r="C181" s="122" t="s">
        <v>454</v>
      </c>
      <c r="D181" s="287" t="s">
        <v>479</v>
      </c>
      <c r="E181" s="8">
        <v>75</v>
      </c>
      <c r="F181" s="125" t="s">
        <v>478</v>
      </c>
      <c r="G181" s="110"/>
      <c r="H181" s="79" t="e">
        <f>_xlfn.XLOOKUP(B181,#REF!,#REF!,0,0)</f>
        <v>#REF!</v>
      </c>
      <c r="I181" s="75" t="e">
        <f>_xlfn.XLOOKUP(B181,#REF!,#REF!,0,0)</f>
        <v>#REF!</v>
      </c>
    </row>
    <row r="182" spans="1:9" ht="23.25" customHeight="1">
      <c r="A182" s="5" t="s">
        <v>450</v>
      </c>
      <c r="B182" s="34">
        <v>5029</v>
      </c>
      <c r="C182" s="285" t="s">
        <v>480</v>
      </c>
      <c r="D182" s="176" t="s">
        <v>481</v>
      </c>
      <c r="E182" s="8">
        <v>75</v>
      </c>
      <c r="F182" s="125" t="s">
        <v>476</v>
      </c>
      <c r="G182" s="110"/>
      <c r="H182" s="79" t="e">
        <f>_xlfn.XLOOKUP(B182,#REF!,#REF!,0,0)</f>
        <v>#REF!</v>
      </c>
      <c r="I182" s="75" t="e">
        <f>_xlfn.XLOOKUP(B182,#REF!,#REF!,0,0)</f>
        <v>#REF!</v>
      </c>
    </row>
    <row r="183" spans="1:9" ht="23.25" customHeight="1">
      <c r="A183" s="10" t="s">
        <v>482</v>
      </c>
      <c r="B183" s="18">
        <v>5030</v>
      </c>
      <c r="C183" s="122" t="s">
        <v>483</v>
      </c>
      <c r="D183" s="50" t="s">
        <v>484</v>
      </c>
      <c r="E183" s="8">
        <v>25</v>
      </c>
      <c r="F183" s="126" t="s">
        <v>485</v>
      </c>
      <c r="G183" s="231"/>
      <c r="H183" s="79" t="e">
        <f>_xlfn.XLOOKUP(B183,#REF!,#REF!,0,0)</f>
        <v>#REF!</v>
      </c>
      <c r="I183" s="75" t="e">
        <f>_xlfn.XLOOKUP(B183,#REF!,#REF!,0,0)</f>
        <v>#REF!</v>
      </c>
    </row>
    <row r="184" spans="1:9" ht="23.25" customHeight="1">
      <c r="A184" s="10" t="s">
        <v>482</v>
      </c>
      <c r="B184" s="18">
        <v>5031</v>
      </c>
      <c r="C184" s="50" t="s">
        <v>486</v>
      </c>
      <c r="D184" s="50" t="s">
        <v>487</v>
      </c>
      <c r="E184" s="15">
        <v>25</v>
      </c>
      <c r="F184" s="126" t="s">
        <v>488</v>
      </c>
      <c r="G184" s="232"/>
      <c r="H184" s="79" t="e">
        <f>_xlfn.XLOOKUP(B184,#REF!,#REF!,0,0)</f>
        <v>#REF!</v>
      </c>
      <c r="I184" s="76" t="e">
        <f>_xlfn.XLOOKUP(B184,#REF!,#REF!,0,0)</f>
        <v>#REF!</v>
      </c>
    </row>
    <row r="185" spans="1:9" ht="23.25" customHeight="1">
      <c r="A185" s="10" t="s">
        <v>482</v>
      </c>
      <c r="B185" s="18">
        <v>5032</v>
      </c>
      <c r="C185" s="124" t="s">
        <v>486</v>
      </c>
      <c r="D185" s="122" t="s">
        <v>489</v>
      </c>
      <c r="E185" s="8">
        <v>75</v>
      </c>
      <c r="F185" s="17" t="s">
        <v>488</v>
      </c>
      <c r="G185" s="277"/>
      <c r="H185" s="181" t="e">
        <f>_xlfn.XLOOKUP(B185,#REF!,#REF!,0,0)</f>
        <v>#REF!</v>
      </c>
      <c r="I185" s="75" t="e">
        <f>_xlfn.XLOOKUP(B185,#REF!,#REF!,0,0)</f>
        <v>#REF!</v>
      </c>
    </row>
    <row r="186" spans="1:9" ht="23.25" customHeight="1">
      <c r="A186" s="10" t="s">
        <v>482</v>
      </c>
      <c r="B186" s="18">
        <v>5033</v>
      </c>
      <c r="C186" s="10" t="s">
        <v>490</v>
      </c>
      <c r="D186" s="122" t="s">
        <v>491</v>
      </c>
      <c r="E186" s="8">
        <v>75</v>
      </c>
      <c r="F186" s="122" t="s">
        <v>492</v>
      </c>
      <c r="G186" s="278"/>
      <c r="H186" s="181" t="e">
        <f>_xlfn.XLOOKUP(B186,#REF!,#REF!,0,0)</f>
        <v>#REF!</v>
      </c>
      <c r="I186" s="76" t="e">
        <f>_xlfn.XLOOKUP(B186,#REF!,#REF!,0,0)</f>
        <v>#REF!</v>
      </c>
    </row>
    <row r="187" spans="1:9" ht="23.25" customHeight="1">
      <c r="A187" s="10" t="s">
        <v>482</v>
      </c>
      <c r="B187" s="18">
        <v>5034</v>
      </c>
      <c r="C187" s="50" t="s">
        <v>493</v>
      </c>
      <c r="D187" s="10" t="s">
        <v>494</v>
      </c>
      <c r="E187" s="15">
        <v>75</v>
      </c>
      <c r="F187" s="125" t="s">
        <v>495</v>
      </c>
      <c r="G187" s="231"/>
      <c r="H187" s="79" t="e">
        <f>_xlfn.XLOOKUP(B187,#REF!,#REF!,0,0)</f>
        <v>#REF!</v>
      </c>
      <c r="I187" s="75" t="e">
        <f>_xlfn.XLOOKUP(B187,#REF!,#REF!,0,0)</f>
        <v>#REF!</v>
      </c>
    </row>
    <row r="188" spans="1:9" ht="23.25" customHeight="1">
      <c r="A188" s="10" t="s">
        <v>482</v>
      </c>
      <c r="B188" s="18">
        <v>5035</v>
      </c>
      <c r="C188" s="122" t="s">
        <v>496</v>
      </c>
      <c r="D188" s="10" t="s">
        <v>497</v>
      </c>
      <c r="E188" s="15">
        <v>25</v>
      </c>
      <c r="F188" s="125" t="s">
        <v>498</v>
      </c>
      <c r="G188" s="231"/>
      <c r="H188" s="79" t="e">
        <f>_xlfn.XLOOKUP(B188,#REF!,#REF!,0,0)</f>
        <v>#REF!</v>
      </c>
      <c r="I188" s="75" t="e">
        <f>_xlfn.XLOOKUP(B188,#REF!,#REF!,0,0)</f>
        <v>#REF!</v>
      </c>
    </row>
    <row r="189" spans="1:9" ht="23.25" customHeight="1">
      <c r="A189" s="10" t="s">
        <v>482</v>
      </c>
      <c r="B189" s="18">
        <v>5036</v>
      </c>
      <c r="C189" s="122" t="s">
        <v>499</v>
      </c>
      <c r="D189" s="50" t="s">
        <v>500</v>
      </c>
      <c r="E189" s="12">
        <v>25</v>
      </c>
      <c r="F189" s="125" t="s">
        <v>501</v>
      </c>
      <c r="G189" s="110"/>
      <c r="H189" s="79" t="e">
        <f>_xlfn.XLOOKUP(B189,#REF!,#REF!,0,0)</f>
        <v>#REF!</v>
      </c>
      <c r="I189" s="75" t="e">
        <f>_xlfn.XLOOKUP(B189,#REF!,#REF!,0,0)</f>
        <v>#REF!</v>
      </c>
    </row>
    <row r="190" spans="1:9" ht="23.25" customHeight="1">
      <c r="A190" s="10" t="s">
        <v>482</v>
      </c>
      <c r="B190" s="18">
        <v>5037</v>
      </c>
      <c r="C190" s="122" t="s">
        <v>502</v>
      </c>
      <c r="D190" s="178" t="s">
        <v>503</v>
      </c>
      <c r="E190" s="8">
        <v>75</v>
      </c>
      <c r="F190" s="125" t="s">
        <v>467</v>
      </c>
      <c r="G190" s="110"/>
      <c r="H190" s="79" t="e">
        <f>_xlfn.XLOOKUP(B190,#REF!,#REF!,0,0)</f>
        <v>#REF!</v>
      </c>
      <c r="I190" s="75" t="e">
        <f>_xlfn.XLOOKUP(B190,#REF!,#REF!,0,0)</f>
        <v>#REF!</v>
      </c>
    </row>
    <row r="191" spans="1:9" ht="23.25" customHeight="1">
      <c r="A191" s="10" t="s">
        <v>482</v>
      </c>
      <c r="B191" s="18">
        <v>5038</v>
      </c>
      <c r="C191" s="50" t="s">
        <v>504</v>
      </c>
      <c r="D191" s="50" t="s">
        <v>505</v>
      </c>
      <c r="E191" s="15">
        <v>25</v>
      </c>
      <c r="F191" s="125" t="s">
        <v>506</v>
      </c>
      <c r="G191" s="110"/>
      <c r="H191" s="79" t="e">
        <f>_xlfn.XLOOKUP(B191,#REF!,#REF!,0,0)</f>
        <v>#REF!</v>
      </c>
      <c r="I191" s="75" t="e">
        <f>_xlfn.XLOOKUP(B191,#REF!,#REF!,0,0)</f>
        <v>#REF!</v>
      </c>
    </row>
    <row r="192" spans="1:9" ht="23.25" customHeight="1">
      <c r="A192" s="10" t="s">
        <v>507</v>
      </c>
      <c r="B192" s="18">
        <v>5039</v>
      </c>
      <c r="C192" s="50" t="s">
        <v>508</v>
      </c>
      <c r="D192" s="50" t="s">
        <v>509</v>
      </c>
      <c r="E192" s="15">
        <v>25</v>
      </c>
      <c r="F192" s="125" t="s">
        <v>510</v>
      </c>
      <c r="G192" s="110"/>
      <c r="H192" s="79" t="e">
        <f>_xlfn.XLOOKUP(B192,#REF!,#REF!,0,0)</f>
        <v>#REF!</v>
      </c>
      <c r="I192" s="76" t="e">
        <f>_xlfn.XLOOKUP(B192,#REF!,#REF!,0,0)</f>
        <v>#REF!</v>
      </c>
    </row>
    <row r="193" spans="1:10" ht="23.25" customHeight="1">
      <c r="A193" s="10" t="s">
        <v>482</v>
      </c>
      <c r="B193" s="18">
        <v>5040</v>
      </c>
      <c r="C193" s="289" t="s">
        <v>511</v>
      </c>
      <c r="D193" s="122" t="s">
        <v>512</v>
      </c>
      <c r="E193" s="15">
        <v>25</v>
      </c>
      <c r="F193" s="125" t="s">
        <v>513</v>
      </c>
      <c r="G193" s="110"/>
      <c r="H193" s="79" t="e">
        <f>_xlfn.XLOOKUP(B193,#REF!,#REF!,0,0)</f>
        <v>#REF!</v>
      </c>
      <c r="I193" s="75" t="e">
        <f>_xlfn.XLOOKUP(B193,#REF!,#REF!,0,0)</f>
        <v>#REF!</v>
      </c>
    </row>
    <row r="194" spans="1:10" ht="23.25" customHeight="1">
      <c r="A194" s="10" t="s">
        <v>482</v>
      </c>
      <c r="B194" s="18">
        <v>5041</v>
      </c>
      <c r="C194" s="50" t="s">
        <v>514</v>
      </c>
      <c r="D194" s="50" t="s">
        <v>515</v>
      </c>
      <c r="E194" s="15">
        <v>25</v>
      </c>
      <c r="F194" s="126" t="s">
        <v>516</v>
      </c>
      <c r="G194" s="110"/>
      <c r="H194" s="79" t="e">
        <f>_xlfn.XLOOKUP(B194,#REF!,#REF!,0,0)</f>
        <v>#REF!</v>
      </c>
      <c r="I194" s="76" t="e">
        <f>_xlfn.XLOOKUP(B194,#REF!,#REF!,0,0)</f>
        <v>#REF!</v>
      </c>
    </row>
    <row r="195" spans="1:10" ht="23.25" customHeight="1">
      <c r="A195" s="10" t="s">
        <v>482</v>
      </c>
      <c r="B195" s="18">
        <v>5042</v>
      </c>
      <c r="C195" s="122" t="s">
        <v>514</v>
      </c>
      <c r="D195" s="50" t="s">
        <v>515</v>
      </c>
      <c r="E195" s="15">
        <v>25</v>
      </c>
      <c r="F195" s="126" t="s">
        <v>517</v>
      </c>
      <c r="G195" s="110"/>
      <c r="H195" s="79" t="e">
        <f>_xlfn.XLOOKUP(B195,#REF!,#REF!,0,0)</f>
        <v>#REF!</v>
      </c>
      <c r="I195" s="75" t="e">
        <f>_xlfn.XLOOKUP(B195,#REF!,#REF!,0,0)</f>
        <v>#REF!</v>
      </c>
    </row>
    <row r="196" spans="1:10" ht="23.25" customHeight="1">
      <c r="A196" s="10" t="s">
        <v>482</v>
      </c>
      <c r="B196" s="18">
        <v>5043</v>
      </c>
      <c r="C196" s="122" t="s">
        <v>518</v>
      </c>
      <c r="D196" s="122" t="s">
        <v>519</v>
      </c>
      <c r="E196" s="15">
        <v>25</v>
      </c>
      <c r="F196" s="126" t="s">
        <v>506</v>
      </c>
      <c r="G196" s="110"/>
      <c r="H196" s="79" t="e">
        <f>_xlfn.XLOOKUP(B196,#REF!,#REF!,0,0)</f>
        <v>#REF!</v>
      </c>
      <c r="I196" s="75" t="e">
        <f>_xlfn.XLOOKUP(B196,#REF!,#REF!,0,0)</f>
        <v>#REF!</v>
      </c>
    </row>
    <row r="197" spans="1:10" ht="23.25" customHeight="1">
      <c r="A197" s="10" t="s">
        <v>482</v>
      </c>
      <c r="B197" s="18">
        <v>5044</v>
      </c>
      <c r="C197" s="288" t="s">
        <v>511</v>
      </c>
      <c r="D197" s="50" t="s">
        <v>512</v>
      </c>
      <c r="E197" s="12">
        <v>25</v>
      </c>
      <c r="F197" s="126" t="s">
        <v>513</v>
      </c>
      <c r="G197" s="110"/>
      <c r="H197" s="79" t="e">
        <f>_xlfn.XLOOKUP(B197,#REF!,#REF!,0,0)</f>
        <v>#REF!</v>
      </c>
      <c r="I197" s="75" t="e">
        <f>_xlfn.XLOOKUP(B197,#REF!,#REF!,0,0)</f>
        <v>#REF!</v>
      </c>
    </row>
    <row r="198" spans="1:10" ht="23.25" customHeight="1">
      <c r="A198" s="10" t="s">
        <v>482</v>
      </c>
      <c r="B198" s="18">
        <v>5071</v>
      </c>
      <c r="C198" s="14" t="s">
        <v>520</v>
      </c>
      <c r="D198" s="10" t="s">
        <v>521</v>
      </c>
      <c r="E198" s="12">
        <v>25</v>
      </c>
      <c r="F198" s="247" t="s">
        <v>510</v>
      </c>
      <c r="G198" s="110"/>
      <c r="H198" s="79" t="e">
        <f>_xlfn.XLOOKUP(B198,#REF!,#REF!,0,0)</f>
        <v>#REF!</v>
      </c>
      <c r="I198" s="75" t="e">
        <f>_xlfn.XLOOKUP(B198,#REF!,#REF!,0,0)</f>
        <v>#REF!</v>
      </c>
    </row>
    <row r="199" spans="1:10" ht="23.25" customHeight="1">
      <c r="A199" s="50" t="s">
        <v>482</v>
      </c>
      <c r="B199" s="51">
        <v>5045</v>
      </c>
      <c r="C199" s="124" t="s">
        <v>522</v>
      </c>
      <c r="D199" s="123" t="s">
        <v>455</v>
      </c>
      <c r="E199" s="240">
        <v>25</v>
      </c>
      <c r="F199" s="125" t="s">
        <v>523</v>
      </c>
      <c r="G199" s="110"/>
      <c r="H199" s="79" t="e">
        <f>_xlfn.XLOOKUP(B199,#REF!,#REF!,0,0)</f>
        <v>#REF!</v>
      </c>
      <c r="I199" s="76" t="e">
        <f>_xlfn.XLOOKUP(B199,#REF!,#REF!,0,0)</f>
        <v>#REF!</v>
      </c>
    </row>
    <row r="200" spans="1:10" ht="23.25" customHeight="1">
      <c r="A200" s="10" t="s">
        <v>482</v>
      </c>
      <c r="B200" s="18">
        <v>5046</v>
      </c>
      <c r="C200" s="10" t="s">
        <v>524</v>
      </c>
      <c r="D200" s="122" t="s">
        <v>525</v>
      </c>
      <c r="E200" s="8">
        <v>75</v>
      </c>
      <c r="F200" s="125" t="s">
        <v>523</v>
      </c>
      <c r="G200" s="110"/>
      <c r="H200" s="79" t="e">
        <f>_xlfn.XLOOKUP(B200,#REF!,#REF!,0,0)</f>
        <v>#REF!</v>
      </c>
      <c r="I200" s="75" t="e">
        <f>_xlfn.XLOOKUP(B200,#REF!,#REF!,0,0)</f>
        <v>#REF!</v>
      </c>
    </row>
    <row r="201" spans="1:10" ht="23.25" customHeight="1">
      <c r="A201" s="5" t="s">
        <v>526</v>
      </c>
      <c r="B201" s="18">
        <v>5047</v>
      </c>
      <c r="C201" s="122" t="s">
        <v>527</v>
      </c>
      <c r="D201" s="122" t="s">
        <v>528</v>
      </c>
      <c r="E201" s="8">
        <v>25</v>
      </c>
      <c r="F201" s="126" t="s">
        <v>529</v>
      </c>
      <c r="G201" s="110"/>
      <c r="H201" s="79" t="e">
        <f>_xlfn.XLOOKUP(B201,#REF!,#REF!,0,0)</f>
        <v>#REF!</v>
      </c>
      <c r="I201" s="75" t="e">
        <f>_xlfn.XLOOKUP(B201,#REF!,#REF!,0,0)</f>
        <v>#REF!</v>
      </c>
    </row>
    <row r="202" spans="1:10" ht="23.25" customHeight="1">
      <c r="A202" s="5" t="s">
        <v>526</v>
      </c>
      <c r="B202" s="18">
        <v>5048</v>
      </c>
      <c r="C202" s="122" t="s">
        <v>530</v>
      </c>
      <c r="D202" s="9" t="s">
        <v>531</v>
      </c>
      <c r="E202" s="8">
        <v>75</v>
      </c>
      <c r="F202" s="126" t="s">
        <v>529</v>
      </c>
      <c r="G202" s="110"/>
      <c r="H202" s="79" t="e">
        <f>_xlfn.XLOOKUP(B202,#REF!,#REF!,0,0)</f>
        <v>#REF!</v>
      </c>
      <c r="I202" s="75" t="e">
        <f>_xlfn.XLOOKUP(B202,#REF!,#REF!,0,0)</f>
        <v>#REF!</v>
      </c>
    </row>
    <row r="203" spans="1:10" ht="23.25" customHeight="1">
      <c r="A203" s="5" t="s">
        <v>532</v>
      </c>
      <c r="B203" s="18">
        <v>5049</v>
      </c>
      <c r="C203" s="50" t="s">
        <v>533</v>
      </c>
      <c r="D203" s="50" t="s">
        <v>534</v>
      </c>
      <c r="E203" s="12">
        <v>25</v>
      </c>
      <c r="F203" s="125" t="s">
        <v>535</v>
      </c>
      <c r="G203" s="110"/>
      <c r="H203" s="79" t="e">
        <f>_xlfn.XLOOKUP(B203,#REF!,#REF!,0,0)</f>
        <v>#REF!</v>
      </c>
      <c r="I203" s="75" t="e">
        <f>_xlfn.XLOOKUP(B203,#REF!,#REF!,0,0)</f>
        <v>#REF!</v>
      </c>
    </row>
    <row r="204" spans="1:10" ht="23.25" customHeight="1">
      <c r="A204" s="5" t="s">
        <v>532</v>
      </c>
      <c r="B204" s="18">
        <v>5050</v>
      </c>
      <c r="C204" s="50" t="s">
        <v>533</v>
      </c>
      <c r="D204" s="50" t="s">
        <v>534</v>
      </c>
      <c r="E204" s="12">
        <v>25</v>
      </c>
      <c r="F204" s="125" t="s">
        <v>535</v>
      </c>
      <c r="G204" s="110"/>
      <c r="H204" s="79" t="s">
        <v>237</v>
      </c>
      <c r="I204" s="75"/>
    </row>
    <row r="205" spans="1:10" ht="23.25" customHeight="1">
      <c r="A205" s="205" t="s">
        <v>271</v>
      </c>
      <c r="B205" s="206"/>
      <c r="C205" s="200" t="s">
        <v>272</v>
      </c>
      <c r="D205" s="200" t="s">
        <v>273</v>
      </c>
      <c r="E205" s="197">
        <v>25</v>
      </c>
      <c r="F205" s="207" t="s">
        <v>274</v>
      </c>
      <c r="G205" s="110"/>
      <c r="H205" s="79" t="e">
        <f>_xlfn.XLOOKUP(B205,#REF!,#REF!,0,0)</f>
        <v>#REF!</v>
      </c>
      <c r="I205" s="75" t="e">
        <f>_xlfn.XLOOKUP(B205,#REF!,#REF!,0,0)</f>
        <v>#REF!</v>
      </c>
    </row>
    <row r="206" spans="1:10" ht="23.25" customHeight="1">
      <c r="A206" s="5" t="s">
        <v>482</v>
      </c>
      <c r="B206" s="18">
        <v>5051</v>
      </c>
      <c r="C206" s="176" t="s">
        <v>504</v>
      </c>
      <c r="D206" s="123" t="s">
        <v>505</v>
      </c>
      <c r="E206" s="8">
        <v>75</v>
      </c>
      <c r="F206" s="125" t="s">
        <v>536</v>
      </c>
      <c r="G206" s="110"/>
      <c r="H206" s="79" t="e">
        <f>_xlfn.XLOOKUP(B206,#REF!,#REF!,0,0)</f>
        <v>#REF!</v>
      </c>
      <c r="I206" s="75" t="e">
        <f>_xlfn.XLOOKUP(B206,#REF!,#REF!,0,0)</f>
        <v>#REF!</v>
      </c>
    </row>
    <row r="207" spans="1:10" ht="23.25" customHeight="1">
      <c r="A207" s="5" t="s">
        <v>537</v>
      </c>
      <c r="B207" s="18">
        <v>5052</v>
      </c>
      <c r="C207" s="122" t="s">
        <v>538</v>
      </c>
      <c r="D207" s="122" t="s">
        <v>539</v>
      </c>
      <c r="E207" s="8">
        <v>25</v>
      </c>
      <c r="F207" s="126" t="s">
        <v>540</v>
      </c>
      <c r="G207" s="110"/>
      <c r="H207" s="79" t="e">
        <f>_xlfn.XLOOKUP(B207,#REF!,#REF!,0,0)</f>
        <v>#REF!</v>
      </c>
      <c r="I207" s="75" t="e">
        <f>_xlfn.XLOOKUP(B207,#REF!,#REF!,0,0)</f>
        <v>#REF!</v>
      </c>
    </row>
    <row r="208" spans="1:10" s="28" customFormat="1" ht="23.25" customHeight="1">
      <c r="A208" s="5" t="s">
        <v>541</v>
      </c>
      <c r="B208" s="34">
        <v>5053</v>
      </c>
      <c r="C208" s="50" t="s">
        <v>538</v>
      </c>
      <c r="D208" s="50" t="s">
        <v>539</v>
      </c>
      <c r="E208" s="8">
        <v>75</v>
      </c>
      <c r="F208" s="125" t="s">
        <v>540</v>
      </c>
      <c r="G208" s="231"/>
      <c r="H208" s="79" t="s">
        <v>237</v>
      </c>
      <c r="I208" s="75"/>
      <c r="J208" s="87"/>
    </row>
    <row r="209" spans="1:10" ht="23.25" customHeight="1">
      <c r="A209" s="20" t="s">
        <v>542</v>
      </c>
      <c r="B209" s="127"/>
      <c r="C209" s="128" t="s">
        <v>543</v>
      </c>
      <c r="D209" s="128" t="s">
        <v>543</v>
      </c>
      <c r="E209" s="255"/>
      <c r="F209" s="256"/>
      <c r="G209" s="110"/>
      <c r="H209" s="79" t="e">
        <f>_xlfn.XLOOKUP(B209,#REF!,#REF!,0,0)</f>
        <v>#REF!</v>
      </c>
      <c r="I209" s="75" t="e">
        <f>_xlfn.XLOOKUP(B209,#REF!,#REF!,0,0)</f>
        <v>#REF!</v>
      </c>
    </row>
    <row r="210" spans="1:10" s="28" customFormat="1" ht="23.25" customHeight="1">
      <c r="A210" s="5" t="s">
        <v>544</v>
      </c>
      <c r="B210" s="34">
        <v>5055</v>
      </c>
      <c r="C210" s="50" t="s">
        <v>545</v>
      </c>
      <c r="D210" s="10" t="s">
        <v>546</v>
      </c>
      <c r="E210" s="12">
        <v>25</v>
      </c>
      <c r="F210" s="125" t="s">
        <v>485</v>
      </c>
      <c r="G210" s="231"/>
      <c r="H210" s="79" t="e">
        <f>_xlfn.XLOOKUP(B210,#REF!,#REF!,0,0)</f>
        <v>#REF!</v>
      </c>
      <c r="I210" s="75" t="e">
        <f>_xlfn.XLOOKUP(B210,#REF!,#REF!,0,0)</f>
        <v>#REF!</v>
      </c>
      <c r="J210" s="87"/>
    </row>
    <row r="211" spans="1:10" ht="23.25" customHeight="1">
      <c r="A211" s="5" t="s">
        <v>547</v>
      </c>
      <c r="B211" s="34">
        <v>5056</v>
      </c>
      <c r="C211" s="50" t="s">
        <v>548</v>
      </c>
      <c r="D211" s="123" t="s">
        <v>549</v>
      </c>
      <c r="E211" s="15">
        <v>25</v>
      </c>
      <c r="F211" s="125" t="s">
        <v>550</v>
      </c>
      <c r="G211" s="110"/>
      <c r="H211" s="79" t="e">
        <f>_xlfn.XLOOKUP(B211,#REF!,#REF!,0,0)</f>
        <v>#REF!</v>
      </c>
      <c r="I211" s="75" t="e">
        <f>_xlfn.XLOOKUP(B211,#REF!,#REF!,0,0)</f>
        <v>#REF!</v>
      </c>
    </row>
    <row r="212" spans="1:10" s="28" customFormat="1" ht="23.25" customHeight="1">
      <c r="A212" s="5" t="s">
        <v>551</v>
      </c>
      <c r="B212" s="34">
        <v>5057</v>
      </c>
      <c r="C212" s="50" t="s">
        <v>548</v>
      </c>
      <c r="D212" s="50" t="s">
        <v>552</v>
      </c>
      <c r="E212" s="8">
        <v>25</v>
      </c>
      <c r="F212" s="125" t="s">
        <v>550</v>
      </c>
      <c r="G212" s="231"/>
      <c r="H212" s="79" t="e">
        <f>_xlfn.XLOOKUP(B212,#REF!,#REF!,0,0)</f>
        <v>#REF!</v>
      </c>
      <c r="I212" s="75" t="e">
        <f>_xlfn.XLOOKUP(B212,#REF!,#REF!,0,0)</f>
        <v>#REF!</v>
      </c>
      <c r="J212" s="87"/>
    </row>
    <row r="213" spans="1:10" ht="23.25" customHeight="1">
      <c r="A213" s="5" t="s">
        <v>544</v>
      </c>
      <c r="B213" s="34">
        <v>5058</v>
      </c>
      <c r="C213" s="50" t="s">
        <v>545</v>
      </c>
      <c r="D213" s="10" t="s">
        <v>553</v>
      </c>
      <c r="E213" s="8">
        <v>25</v>
      </c>
      <c r="F213" s="125" t="s">
        <v>554</v>
      </c>
      <c r="G213" s="110"/>
      <c r="H213" s="79" t="e">
        <f>_xlfn.XLOOKUP(B213,#REF!,#REF!,0,0)</f>
        <v>#REF!</v>
      </c>
      <c r="I213" s="75" t="e">
        <f>_xlfn.XLOOKUP(B213,#REF!,#REF!,0,0)</f>
        <v>#REF!</v>
      </c>
    </row>
    <row r="214" spans="1:10" s="28" customFormat="1" ht="23.25" customHeight="1">
      <c r="A214" s="5" t="s">
        <v>544</v>
      </c>
      <c r="B214" s="34">
        <v>5059</v>
      </c>
      <c r="C214" s="50" t="s">
        <v>555</v>
      </c>
      <c r="D214" s="50" t="s">
        <v>556</v>
      </c>
      <c r="E214" s="8">
        <v>25</v>
      </c>
      <c r="F214" s="125" t="s">
        <v>498</v>
      </c>
      <c r="G214" s="231"/>
      <c r="H214" s="79" t="e">
        <f>_xlfn.XLOOKUP(B214,#REF!,#REF!,0,0)</f>
        <v>#REF!</v>
      </c>
      <c r="I214" s="75" t="e">
        <f>_xlfn.XLOOKUP(B214,#REF!,#REF!,0,0)</f>
        <v>#REF!</v>
      </c>
      <c r="J214" s="87"/>
    </row>
    <row r="215" spans="1:10" ht="23.25" customHeight="1">
      <c r="A215" s="5" t="s">
        <v>544</v>
      </c>
      <c r="B215" s="34">
        <v>5060</v>
      </c>
      <c r="C215" s="122" t="s">
        <v>557</v>
      </c>
      <c r="D215" s="122" t="s">
        <v>556</v>
      </c>
      <c r="E215" s="8">
        <v>25</v>
      </c>
      <c r="F215" s="125" t="s">
        <v>554</v>
      </c>
      <c r="G215" s="110"/>
      <c r="H215" s="79" t="e">
        <f>_xlfn.XLOOKUP(B215,#REF!,#REF!,0,0)</f>
        <v>#REF!</v>
      </c>
      <c r="I215" s="75" t="e">
        <f>_xlfn.XLOOKUP(B215,#REF!,#REF!,0,0)</f>
        <v>#REF!</v>
      </c>
    </row>
    <row r="216" spans="1:10" ht="23.25" customHeight="1">
      <c r="A216" s="5" t="s">
        <v>558</v>
      </c>
      <c r="B216" s="18">
        <v>5061</v>
      </c>
      <c r="C216" s="50" t="s">
        <v>252</v>
      </c>
      <c r="D216" s="50" t="s">
        <v>521</v>
      </c>
      <c r="E216" s="13">
        <v>25</v>
      </c>
      <c r="F216" s="125" t="s">
        <v>559</v>
      </c>
      <c r="G216" s="110"/>
      <c r="H216" s="79" t="e">
        <f>_xlfn.XLOOKUP(B216,#REF!,#REF!,0,0)</f>
        <v>#REF!</v>
      </c>
      <c r="I216" s="75" t="e">
        <f>_xlfn.XLOOKUP(B216,#REF!,#REF!,0,0)</f>
        <v>#REF!</v>
      </c>
    </row>
    <row r="217" spans="1:10" ht="23.25" customHeight="1">
      <c r="A217" s="5" t="s">
        <v>560</v>
      </c>
      <c r="B217" s="18">
        <v>5062</v>
      </c>
      <c r="C217" s="279" t="s">
        <v>561</v>
      </c>
      <c r="D217" s="122" t="s">
        <v>562</v>
      </c>
      <c r="E217" s="8">
        <v>25</v>
      </c>
      <c r="F217" s="125" t="s">
        <v>559</v>
      </c>
      <c r="G217" s="110"/>
      <c r="H217" s="79" t="e">
        <f>_xlfn.XLOOKUP(B217,#REF!,#REF!,0,0)</f>
        <v>#REF!</v>
      </c>
      <c r="I217" s="75" t="e">
        <f>_xlfn.XLOOKUP(B217,#REF!,#REF!,0,0)</f>
        <v>#REF!</v>
      </c>
    </row>
    <row r="218" spans="1:10" ht="23.25" customHeight="1">
      <c r="A218" s="5" t="s">
        <v>563</v>
      </c>
      <c r="B218" s="18">
        <v>5063</v>
      </c>
      <c r="C218" s="122" t="s">
        <v>564</v>
      </c>
      <c r="D218" s="122" t="s">
        <v>565</v>
      </c>
      <c r="E218" s="8">
        <v>25</v>
      </c>
      <c r="F218" s="125" t="s">
        <v>566</v>
      </c>
      <c r="G218" s="110"/>
      <c r="H218" s="79" t="e">
        <f>_xlfn.XLOOKUP(B218,#REF!,#REF!,0,0)</f>
        <v>#REF!</v>
      </c>
      <c r="I218" s="75" t="e">
        <f>_xlfn.XLOOKUP(B218,#REF!,#REF!,0,0)</f>
        <v>#REF!</v>
      </c>
    </row>
    <row r="219" spans="1:10" ht="23.25" customHeight="1">
      <c r="A219" s="5" t="s">
        <v>567</v>
      </c>
      <c r="B219" s="18">
        <v>5064</v>
      </c>
      <c r="C219" s="122" t="s">
        <v>564</v>
      </c>
      <c r="D219" s="122" t="s">
        <v>565</v>
      </c>
      <c r="E219" s="8">
        <v>25</v>
      </c>
      <c r="F219" s="125" t="s">
        <v>566</v>
      </c>
      <c r="G219" s="110"/>
      <c r="H219" s="79" t="e">
        <f>_xlfn.XLOOKUP(B219,#REF!,#REF!,0,0)</f>
        <v>#REF!</v>
      </c>
      <c r="I219" s="75" t="e">
        <f>_xlfn.XLOOKUP(B219,#REF!,#REF!,0,0)</f>
        <v>#REF!</v>
      </c>
    </row>
    <row r="220" spans="1:10" ht="23.25" customHeight="1">
      <c r="A220" s="5" t="s">
        <v>568</v>
      </c>
      <c r="B220" s="18">
        <v>5065</v>
      </c>
      <c r="C220" s="122" t="s">
        <v>564</v>
      </c>
      <c r="D220" s="122" t="s">
        <v>565</v>
      </c>
      <c r="E220" s="8">
        <v>25</v>
      </c>
      <c r="F220" s="125" t="s">
        <v>569</v>
      </c>
      <c r="G220" s="110"/>
      <c r="H220" s="79" t="e">
        <f>_xlfn.XLOOKUP(B220,#REF!,#REF!,0,0)</f>
        <v>#REF!</v>
      </c>
      <c r="I220" s="75" t="e">
        <f>_xlfn.XLOOKUP(B220,#REF!,#REF!,0,0)</f>
        <v>#REF!</v>
      </c>
    </row>
    <row r="221" spans="1:10" ht="23.25" customHeight="1">
      <c r="A221" s="10" t="s">
        <v>507</v>
      </c>
      <c r="B221" s="18">
        <v>5066</v>
      </c>
      <c r="C221" s="50" t="s">
        <v>570</v>
      </c>
      <c r="D221" s="10" t="s">
        <v>571</v>
      </c>
      <c r="E221" s="8">
        <v>75</v>
      </c>
      <c r="F221" s="125" t="s">
        <v>572</v>
      </c>
      <c r="G221" s="110"/>
      <c r="H221" s="79"/>
      <c r="I221" s="75"/>
    </row>
    <row r="222" spans="1:10" s="28" customFormat="1" ht="23.25" customHeight="1">
      <c r="A222" s="208" t="s">
        <v>573</v>
      </c>
      <c r="B222" s="130"/>
      <c r="C222" s="129" t="s">
        <v>574</v>
      </c>
      <c r="D222" s="162" t="s">
        <v>575</v>
      </c>
      <c r="E222" s="163"/>
      <c r="F222" s="164" t="s">
        <v>576</v>
      </c>
      <c r="G222" s="235"/>
      <c r="H222" s="79"/>
      <c r="I222" s="75"/>
      <c r="J222" s="87"/>
    </row>
    <row r="223" spans="1:10" s="28" customFormat="1" ht="23.25" customHeight="1">
      <c r="A223" s="129"/>
      <c r="B223" s="130"/>
      <c r="C223" s="129"/>
      <c r="D223" s="179"/>
      <c r="E223" s="163"/>
      <c r="F223" s="164" t="s">
        <v>480</v>
      </c>
      <c r="G223" s="235"/>
      <c r="H223" s="79"/>
      <c r="I223" s="75"/>
      <c r="J223" s="87"/>
    </row>
    <row r="224" spans="1:10" s="28" customFormat="1" ht="23.25" customHeight="1">
      <c r="A224" s="129"/>
      <c r="B224" s="130"/>
      <c r="C224" s="284"/>
      <c r="D224" s="193"/>
      <c r="E224" s="163"/>
      <c r="F224" s="164" t="s">
        <v>451</v>
      </c>
      <c r="G224" s="235"/>
      <c r="H224" s="79"/>
      <c r="I224" s="75"/>
      <c r="J224" s="87"/>
    </row>
    <row r="225" spans="1:10" s="28" customFormat="1" ht="23.25" customHeight="1">
      <c r="A225" s="129"/>
      <c r="B225" s="130"/>
      <c r="C225" s="193"/>
      <c r="D225" s="262"/>
      <c r="E225" s="163"/>
      <c r="F225" s="164"/>
      <c r="G225" s="235"/>
      <c r="H225" s="79"/>
      <c r="I225" s="75"/>
      <c r="J225" s="87"/>
    </row>
    <row r="226" spans="1:10" s="28" customFormat="1" ht="23.25" customHeight="1">
      <c r="A226" s="129"/>
      <c r="B226" s="130"/>
      <c r="C226" s="162"/>
      <c r="D226" s="209"/>
      <c r="E226" s="163"/>
      <c r="F226" s="164"/>
      <c r="G226" s="235"/>
      <c r="H226" s="79"/>
      <c r="I226" s="75"/>
      <c r="J226" s="87"/>
    </row>
    <row r="227" spans="1:10" s="28" customFormat="1" ht="23.25" customHeight="1">
      <c r="A227" s="129"/>
      <c r="B227" s="130"/>
      <c r="C227" s="164"/>
      <c r="D227" s="259"/>
      <c r="E227" s="163"/>
      <c r="F227" s="164"/>
      <c r="G227" s="235"/>
      <c r="H227" s="79"/>
      <c r="I227" s="75"/>
      <c r="J227" s="87"/>
    </row>
    <row r="228" spans="1:10" s="28" customFormat="1" ht="23.25" customHeight="1">
      <c r="A228" s="129"/>
      <c r="B228" s="130"/>
      <c r="C228" s="162"/>
      <c r="D228" s="162"/>
      <c r="E228" s="163"/>
      <c r="F228" s="164"/>
      <c r="G228" s="235"/>
      <c r="H228" s="79"/>
      <c r="I228" s="75"/>
      <c r="J228" s="87"/>
    </row>
    <row r="229" spans="1:10" s="28" customFormat="1" ht="23.25" customHeight="1">
      <c r="A229" s="129"/>
      <c r="B229" s="130"/>
      <c r="C229" s="162"/>
      <c r="D229" s="162"/>
      <c r="E229" s="163"/>
      <c r="F229" s="164"/>
      <c r="G229" s="235"/>
      <c r="H229" s="79"/>
      <c r="I229" s="75"/>
      <c r="J229" s="87"/>
    </row>
    <row r="230" spans="1:10" s="28" customFormat="1" ht="23.25" customHeight="1">
      <c r="A230" s="70"/>
      <c r="B230" s="71"/>
      <c r="C230" s="32"/>
      <c r="D230" s="72"/>
      <c r="E230" s="30"/>
      <c r="F230" s="188"/>
      <c r="G230" s="231"/>
      <c r="H230" s="79"/>
      <c r="I230" s="75"/>
      <c r="J230" s="87"/>
    </row>
    <row r="231" spans="1:10" ht="23.25" customHeight="1">
      <c r="A231" s="132" t="s">
        <v>133</v>
      </c>
      <c r="B231" s="133"/>
      <c r="C231" s="134" t="s">
        <v>577</v>
      </c>
      <c r="D231" s="134"/>
      <c r="E231" s="135"/>
      <c r="F231" s="196"/>
      <c r="G231" s="110"/>
      <c r="H231" s="79"/>
      <c r="I231" s="75"/>
    </row>
    <row r="232" spans="1:10" s="28" customFormat="1" ht="23.25" customHeight="1" thickBot="1">
      <c r="A232" s="52" t="s">
        <v>578</v>
      </c>
      <c r="B232" s="53">
        <v>6001</v>
      </c>
      <c r="C232" s="54" t="s">
        <v>579</v>
      </c>
      <c r="D232" s="6"/>
      <c r="E232" s="55">
        <v>25</v>
      </c>
      <c r="F232" s="69" t="s">
        <v>580</v>
      </c>
      <c r="G232" s="231"/>
      <c r="H232" s="79" t="e">
        <f>_xlfn.XLOOKUP(B232,#REF!,#REF!,0,0)</f>
        <v>#REF!</v>
      </c>
      <c r="I232" s="75"/>
      <c r="J232" s="87"/>
    </row>
    <row r="233" spans="1:10" ht="23.25" customHeight="1" thickBot="1">
      <c r="A233" s="40" t="s">
        <v>581</v>
      </c>
      <c r="B233" s="43" t="s">
        <v>9</v>
      </c>
      <c r="C233" s="44" t="s">
        <v>10</v>
      </c>
      <c r="D233" s="44" t="s">
        <v>11</v>
      </c>
      <c r="E233" s="41" t="s">
        <v>12</v>
      </c>
      <c r="F233" s="65" t="s">
        <v>13</v>
      </c>
      <c r="G233" s="110"/>
      <c r="H233" s="79"/>
      <c r="I233" s="75"/>
    </row>
    <row r="234" spans="1:10" s="28" customFormat="1" ht="23.25" customHeight="1">
      <c r="A234" s="36" t="s">
        <v>582</v>
      </c>
      <c r="B234" s="37">
        <v>7001</v>
      </c>
      <c r="C234" s="38" t="s">
        <v>583</v>
      </c>
      <c r="D234" s="38" t="s">
        <v>584</v>
      </c>
      <c r="E234" s="39">
        <v>25</v>
      </c>
      <c r="F234" s="61" t="s">
        <v>585</v>
      </c>
      <c r="G234" s="236"/>
      <c r="H234" s="79" t="e">
        <f>_xlfn.XLOOKUP(B234,#REF!,#REF!,0,0)</f>
        <v>#REF!</v>
      </c>
      <c r="I234" s="76" t="e">
        <f>_xlfn.XLOOKUP(B234,#REF!,#REF!,0,0)</f>
        <v>#REF!</v>
      </c>
      <c r="J234" s="87"/>
    </row>
    <row r="235" spans="1:10" ht="23.25" customHeight="1">
      <c r="A235" s="5" t="s">
        <v>582</v>
      </c>
      <c r="B235" s="34">
        <v>7002</v>
      </c>
      <c r="C235" s="6" t="s">
        <v>586</v>
      </c>
      <c r="D235" s="17" t="s">
        <v>587</v>
      </c>
      <c r="E235" s="8">
        <v>25</v>
      </c>
      <c r="F235" s="61" t="s">
        <v>585</v>
      </c>
      <c r="G235" s="110"/>
      <c r="H235" s="79" t="e">
        <f>_xlfn.XLOOKUP(B235,#REF!,#REF!,0,0)</f>
        <v>#REF!</v>
      </c>
      <c r="I235" s="76" t="e">
        <f>_xlfn.XLOOKUP(B235,#REF!,#REF!,0,0)</f>
        <v>#REF!</v>
      </c>
    </row>
    <row r="236" spans="1:10" ht="23.25" customHeight="1">
      <c r="A236" s="5" t="s">
        <v>582</v>
      </c>
      <c r="B236" s="34">
        <v>7003</v>
      </c>
      <c r="C236" s="6" t="s">
        <v>588</v>
      </c>
      <c r="D236" s="17" t="s">
        <v>589</v>
      </c>
      <c r="E236" s="8">
        <v>25</v>
      </c>
      <c r="F236" s="63" t="s">
        <v>590</v>
      </c>
      <c r="G236" s="110"/>
      <c r="H236" s="79" t="e">
        <f>_xlfn.XLOOKUP(B236,#REF!,#REF!,0,0)</f>
        <v>#REF!</v>
      </c>
      <c r="I236" s="77" t="e">
        <f>_xlfn.XLOOKUP(B236,#REF!,#REF!,0,0)</f>
        <v>#REF!</v>
      </c>
    </row>
    <row r="237" spans="1:10" s="29" customFormat="1" ht="23.25" customHeight="1">
      <c r="A237" s="46" t="s">
        <v>582</v>
      </c>
      <c r="B237" s="34">
        <v>7004</v>
      </c>
      <c r="C237" s="131" t="s">
        <v>591</v>
      </c>
      <c r="D237" s="6" t="s">
        <v>592</v>
      </c>
      <c r="E237" s="42">
        <v>25</v>
      </c>
      <c r="F237" s="63" t="s">
        <v>590</v>
      </c>
      <c r="G237" s="237"/>
      <c r="H237" s="79" t="e">
        <f>_xlfn.XLOOKUP(B237,#REF!,#REF!,0,0)</f>
        <v>#REF!</v>
      </c>
      <c r="I237" s="76" t="e">
        <f>_xlfn.XLOOKUP(B237,#REF!,#REF!,0,0)</f>
        <v>#REF!</v>
      </c>
      <c r="J237" s="88"/>
    </row>
    <row r="238" spans="1:10" s="29" customFormat="1" ht="23.25" customHeight="1">
      <c r="A238" s="46" t="s">
        <v>582</v>
      </c>
      <c r="B238" s="34">
        <v>7005</v>
      </c>
      <c r="C238" s="131" t="s">
        <v>593</v>
      </c>
      <c r="D238" s="9" t="s">
        <v>594</v>
      </c>
      <c r="E238" s="42">
        <v>25</v>
      </c>
      <c r="F238" s="63" t="s">
        <v>590</v>
      </c>
      <c r="G238" s="237"/>
      <c r="H238" s="79"/>
      <c r="I238" s="76"/>
      <c r="J238" s="88"/>
    </row>
    <row r="239" spans="1:10" s="29" customFormat="1" ht="23.25" customHeight="1">
      <c r="A239" s="46" t="s">
        <v>582</v>
      </c>
      <c r="B239" s="47">
        <v>7006</v>
      </c>
      <c r="C239" s="195" t="s">
        <v>595</v>
      </c>
      <c r="D239" s="6" t="s">
        <v>596</v>
      </c>
      <c r="E239" s="42">
        <v>25</v>
      </c>
      <c r="F239" s="61" t="s">
        <v>585</v>
      </c>
      <c r="G239" s="237"/>
      <c r="H239" s="79"/>
      <c r="I239" s="76"/>
      <c r="J239" s="88"/>
    </row>
    <row r="240" spans="1:10" s="29" customFormat="1" ht="23.25" customHeight="1">
      <c r="A240" s="5" t="s">
        <v>582</v>
      </c>
      <c r="B240" s="34">
        <v>7007</v>
      </c>
      <c r="C240" s="7" t="s">
        <v>597</v>
      </c>
      <c r="D240" s="6" t="s">
        <v>598</v>
      </c>
      <c r="E240" s="8">
        <v>25</v>
      </c>
      <c r="F240" s="6" t="s">
        <v>585</v>
      </c>
      <c r="G240" s="238"/>
      <c r="H240" s="79"/>
      <c r="I240" s="76"/>
      <c r="J240" s="88"/>
    </row>
    <row r="241" spans="1:9" ht="23.25" customHeight="1" thickBot="1">
      <c r="A241" s="192" t="s">
        <v>599</v>
      </c>
      <c r="B241" s="112" t="s">
        <v>9</v>
      </c>
      <c r="C241" s="111" t="s">
        <v>10</v>
      </c>
      <c r="D241" s="111" t="s">
        <v>11</v>
      </c>
      <c r="E241" s="190" t="s">
        <v>12</v>
      </c>
      <c r="F241" s="191" t="s">
        <v>13</v>
      </c>
      <c r="G241" s="110"/>
      <c r="H241" s="79"/>
      <c r="I241" s="75"/>
    </row>
    <row r="242" spans="1:9" ht="23.25" customHeight="1" thickBot="1">
      <c r="A242" s="56" t="s">
        <v>600</v>
      </c>
      <c r="B242" s="53">
        <v>4049</v>
      </c>
      <c r="C242" s="54" t="s">
        <v>601</v>
      </c>
      <c r="D242" s="54" t="s">
        <v>602</v>
      </c>
      <c r="E242" s="55"/>
      <c r="F242" s="69" t="s">
        <v>603</v>
      </c>
      <c r="G242" s="110"/>
      <c r="H242" s="79"/>
      <c r="I242" s="75"/>
    </row>
    <row r="243" spans="1:9" ht="27" customHeight="1" thickBot="1">
      <c r="A243" s="166" t="s">
        <v>604</v>
      </c>
      <c r="B243" s="167" t="s">
        <v>9</v>
      </c>
      <c r="C243" s="168" t="s">
        <v>10</v>
      </c>
      <c r="D243" s="168" t="s">
        <v>11</v>
      </c>
      <c r="E243" s="169" t="s">
        <v>12</v>
      </c>
      <c r="F243" s="170" t="s">
        <v>13</v>
      </c>
      <c r="G243" s="110"/>
      <c r="H243" s="79"/>
      <c r="I243" s="75"/>
    </row>
    <row r="244" spans="1:9" ht="23.25" customHeight="1">
      <c r="A244" s="50" t="s">
        <v>605</v>
      </c>
      <c r="B244" s="51">
        <v>4050</v>
      </c>
      <c r="C244" s="57"/>
      <c r="D244" s="57"/>
      <c r="E244" s="58"/>
      <c r="F244" s="61" t="s">
        <v>606</v>
      </c>
      <c r="G244" s="110"/>
      <c r="H244" s="79" t="e">
        <f>_xlfn.XLOOKUP(B244,#REF!,#REF!,0,0)</f>
        <v>#REF!</v>
      </c>
      <c r="I244" s="75"/>
    </row>
    <row r="245" spans="1:9" ht="23.25" customHeight="1">
      <c r="A245" s="5"/>
      <c r="B245" s="34"/>
      <c r="C245" s="6"/>
      <c r="D245" s="6"/>
      <c r="E245" s="18"/>
      <c r="F245" s="211" t="s">
        <v>607</v>
      </c>
    </row>
    <row r="246" spans="1:9" ht="23.25" customHeight="1">
      <c r="A246" s="5" t="s">
        <v>608</v>
      </c>
      <c r="B246" s="34"/>
      <c r="C246" s="10" t="s">
        <v>609</v>
      </c>
      <c r="D246" s="140" t="s">
        <v>610</v>
      </c>
      <c r="E246" s="141"/>
      <c r="F246" s="10" t="s">
        <v>611</v>
      </c>
    </row>
    <row r="247" spans="1:9" ht="23.25" customHeight="1">
      <c r="A247" s="5"/>
      <c r="B247" s="34"/>
      <c r="C247" s="50" t="s">
        <v>612</v>
      </c>
      <c r="D247" s="139" t="s">
        <v>613</v>
      </c>
      <c r="E247" s="139"/>
      <c r="F247" s="50" t="s">
        <v>614</v>
      </c>
    </row>
    <row r="248" spans="1:9" ht="23.25" customHeight="1">
      <c r="A248" s="5"/>
      <c r="B248" s="34"/>
      <c r="C248" s="142"/>
      <c r="D248" s="139" t="s">
        <v>615</v>
      </c>
      <c r="E248" s="139"/>
      <c r="F248" s="122"/>
    </row>
    <row r="249" spans="1:9" ht="23.25" customHeight="1">
      <c r="A249" s="5"/>
      <c r="B249" s="34"/>
      <c r="C249" s="50" t="s">
        <v>616</v>
      </c>
      <c r="D249" s="139" t="s">
        <v>617</v>
      </c>
      <c r="E249" s="139"/>
      <c r="F249" s="50" t="s">
        <v>543</v>
      </c>
    </row>
    <row r="250" spans="1:9" ht="23.25" customHeight="1">
      <c r="A250" s="5" t="s">
        <v>618</v>
      </c>
      <c r="B250" s="34"/>
      <c r="C250" s="50" t="s">
        <v>619</v>
      </c>
      <c r="D250" s="50" t="s">
        <v>620</v>
      </c>
      <c r="E250" s="139"/>
      <c r="F250" s="122"/>
    </row>
    <row r="251" spans="1:9" ht="23.25" customHeight="1">
      <c r="A251" s="5"/>
      <c r="B251" s="34"/>
      <c r="C251" s="6"/>
      <c r="D251" s="6"/>
      <c r="E251" s="18"/>
      <c r="F251" s="17"/>
    </row>
    <row r="252" spans="1:9" ht="20.25">
      <c r="A252" s="5"/>
      <c r="B252" s="34"/>
      <c r="C252" s="6"/>
      <c r="D252" s="6"/>
      <c r="E252" s="18"/>
      <c r="F252" s="17"/>
    </row>
    <row r="253" spans="1:9" ht="26.25">
      <c r="A253" s="171" t="s">
        <v>621</v>
      </c>
      <c r="B253" s="172" t="s">
        <v>543</v>
      </c>
      <c r="C253" s="173" t="s">
        <v>622</v>
      </c>
      <c r="D253" s="173" t="s">
        <v>623</v>
      </c>
      <c r="E253" s="174" t="s">
        <v>624</v>
      </c>
      <c r="F253" s="175" t="s">
        <v>624</v>
      </c>
      <c r="G253" s="290" t="s">
        <v>625</v>
      </c>
    </row>
    <row r="254" spans="1:9" ht="20.25">
      <c r="A254" s="50" t="s">
        <v>626</v>
      </c>
      <c r="B254" s="143" t="s">
        <v>543</v>
      </c>
      <c r="C254" s="144" t="s">
        <v>627</v>
      </c>
      <c r="D254" s="139" t="s">
        <v>628</v>
      </c>
      <c r="E254" s="145"/>
      <c r="F254" s="276" t="s">
        <v>629</v>
      </c>
      <c r="G254" s="290"/>
    </row>
    <row r="255" spans="1:9" ht="23.25" customHeight="1">
      <c r="A255" s="36" t="s">
        <v>630</v>
      </c>
      <c r="B255" s="143" t="s">
        <v>543</v>
      </c>
      <c r="C255" s="144" t="s">
        <v>631</v>
      </c>
      <c r="D255" s="139" t="s">
        <v>632</v>
      </c>
      <c r="E255" s="139"/>
      <c r="F255" s="6" t="s">
        <v>606</v>
      </c>
      <c r="G255" s="290"/>
    </row>
    <row r="256" spans="1:9" ht="23.25" customHeight="1">
      <c r="A256" s="50" t="s">
        <v>633</v>
      </c>
      <c r="B256" s="143" t="s">
        <v>543</v>
      </c>
      <c r="C256" s="139" t="s">
        <v>543</v>
      </c>
      <c r="D256" s="139" t="s">
        <v>634</v>
      </c>
      <c r="E256" s="139"/>
      <c r="F256" s="16" t="s">
        <v>635</v>
      </c>
      <c r="G256" s="290"/>
    </row>
    <row r="257" spans="1:7" ht="23.25" customHeight="1">
      <c r="A257" s="50" t="s">
        <v>636</v>
      </c>
      <c r="B257" s="143" t="s">
        <v>543</v>
      </c>
      <c r="C257" s="146" t="s">
        <v>543</v>
      </c>
      <c r="D257" s="139" t="s">
        <v>637</v>
      </c>
      <c r="E257" s="139"/>
      <c r="F257" s="16" t="s">
        <v>638</v>
      </c>
      <c r="G257" s="290"/>
    </row>
    <row r="258" spans="1:7" ht="23.25" customHeight="1">
      <c r="A258" s="50" t="s">
        <v>639</v>
      </c>
      <c r="B258" s="143" t="s">
        <v>543</v>
      </c>
      <c r="C258" s="147" t="s">
        <v>640</v>
      </c>
      <c r="D258" s="144" t="s">
        <v>641</v>
      </c>
      <c r="E258" s="139"/>
      <c r="F258" s="275" t="s">
        <v>642</v>
      </c>
      <c r="G258" s="290"/>
    </row>
    <row r="259" spans="1:7" ht="23.25" customHeight="1">
      <c r="A259" s="50" t="s">
        <v>643</v>
      </c>
      <c r="B259" s="143" t="s">
        <v>543</v>
      </c>
      <c r="C259" s="139" t="s">
        <v>644</v>
      </c>
      <c r="D259" s="139" t="s">
        <v>645</v>
      </c>
      <c r="E259" s="139"/>
      <c r="F259" s="16"/>
      <c r="G259" s="290"/>
    </row>
    <row r="260" spans="1:7" ht="23.25" customHeight="1">
      <c r="A260" s="50" t="s">
        <v>646</v>
      </c>
      <c r="B260" s="143" t="s">
        <v>543</v>
      </c>
      <c r="C260" s="139" t="s">
        <v>647</v>
      </c>
      <c r="D260" s="139"/>
      <c r="E260" s="148" t="s">
        <v>543</v>
      </c>
    </row>
    <row r="261" spans="1:7" ht="23.25" customHeight="1">
      <c r="A261" s="50" t="s">
        <v>648</v>
      </c>
      <c r="B261" s="143" t="s">
        <v>543</v>
      </c>
      <c r="C261" s="139" t="s">
        <v>543</v>
      </c>
      <c r="D261" s="139" t="s">
        <v>543</v>
      </c>
      <c r="E261" s="148" t="s">
        <v>543</v>
      </c>
      <c r="F261" s="16"/>
    </row>
    <row r="262" spans="1:7" ht="23.25" customHeight="1">
      <c r="A262" s="36" t="s">
        <v>649</v>
      </c>
      <c r="B262" s="143" t="s">
        <v>543</v>
      </c>
      <c r="C262" s="139" t="s">
        <v>650</v>
      </c>
      <c r="D262" s="6"/>
      <c r="E262" s="148" t="s">
        <v>543</v>
      </c>
      <c r="F262" s="19"/>
    </row>
    <row r="263" spans="1:7" ht="23.25" customHeight="1">
      <c r="A263" s="36" t="s">
        <v>651</v>
      </c>
      <c r="B263" s="143" t="s">
        <v>543</v>
      </c>
      <c r="C263" s="146" t="s">
        <v>543</v>
      </c>
      <c r="D263" s="16"/>
      <c r="E263" s="148" t="s">
        <v>543</v>
      </c>
      <c r="F263" s="19"/>
    </row>
    <row r="264" spans="1:7" ht="23.25" customHeight="1">
      <c r="A264" s="50" t="s">
        <v>652</v>
      </c>
      <c r="B264" s="143" t="s">
        <v>543</v>
      </c>
      <c r="C264" s="146" t="s">
        <v>543</v>
      </c>
      <c r="D264" s="146" t="s">
        <v>543</v>
      </c>
      <c r="E264" s="148" t="s">
        <v>543</v>
      </c>
      <c r="F264" s="19"/>
    </row>
    <row r="265" spans="1:7" ht="23.25" customHeight="1">
      <c r="A265" s="50"/>
      <c r="B265" s="143" t="s">
        <v>543</v>
      </c>
      <c r="C265" s="139" t="s">
        <v>543</v>
      </c>
      <c r="D265" s="139" t="s">
        <v>543</v>
      </c>
      <c r="E265" s="148" t="s">
        <v>543</v>
      </c>
      <c r="F265" s="19"/>
    </row>
    <row r="266" spans="1:7" ht="23.25" customHeight="1">
      <c r="A266" s="50" t="s">
        <v>653</v>
      </c>
      <c r="B266" s="143" t="s">
        <v>543</v>
      </c>
      <c r="C266" s="139" t="s">
        <v>543</v>
      </c>
      <c r="D266" s="139" t="s">
        <v>543</v>
      </c>
      <c r="E266" s="148" t="s">
        <v>543</v>
      </c>
      <c r="F266" s="19"/>
    </row>
    <row r="267" spans="1:7" ht="23.25" customHeight="1">
      <c r="A267" s="50" t="s">
        <v>654</v>
      </c>
      <c r="B267" s="143" t="s">
        <v>543</v>
      </c>
      <c r="C267" s="139" t="s">
        <v>543</v>
      </c>
      <c r="D267" s="139" t="s">
        <v>543</v>
      </c>
      <c r="E267" s="148" t="s">
        <v>543</v>
      </c>
      <c r="F267" s="19"/>
    </row>
    <row r="268" spans="1:7" ht="23.25" customHeight="1">
      <c r="A268" s="36" t="s">
        <v>655</v>
      </c>
      <c r="B268" s="143" t="s">
        <v>543</v>
      </c>
      <c r="C268" s="139" t="s">
        <v>579</v>
      </c>
      <c r="D268" s="139" t="s">
        <v>656</v>
      </c>
      <c r="E268" s="148" t="s">
        <v>543</v>
      </c>
      <c r="F268" s="9" t="s">
        <v>657</v>
      </c>
    </row>
    <row r="269" spans="1:7" ht="23.25" customHeight="1">
      <c r="A269" s="149" t="s">
        <v>658</v>
      </c>
      <c r="B269" s="146" t="s">
        <v>543</v>
      </c>
      <c r="C269" s="150" t="s">
        <v>659</v>
      </c>
      <c r="D269" s="151" t="s">
        <v>660</v>
      </c>
      <c r="E269" s="154"/>
      <c r="F269" s="155" t="s">
        <v>661</v>
      </c>
    </row>
    <row r="270" spans="1:7" ht="23.25" customHeight="1">
      <c r="A270" s="50" t="s">
        <v>662</v>
      </c>
      <c r="B270" s="146" t="s">
        <v>543</v>
      </c>
      <c r="C270" s="150" t="s">
        <v>663</v>
      </c>
      <c r="D270" s="151" t="s">
        <v>663</v>
      </c>
      <c r="E270" s="139"/>
      <c r="F270" s="36" t="s">
        <v>543</v>
      </c>
    </row>
    <row r="271" spans="1:7" ht="23.25" customHeight="1">
      <c r="A271" s="50" t="s">
        <v>664</v>
      </c>
      <c r="B271" s="146" t="s">
        <v>543</v>
      </c>
      <c r="C271" s="139" t="s">
        <v>665</v>
      </c>
      <c r="D271" s="139" t="s">
        <v>666</v>
      </c>
      <c r="E271" s="139"/>
      <c r="F271" s="50" t="s">
        <v>667</v>
      </c>
    </row>
    <row r="272" spans="1:7" ht="23.25" customHeight="1">
      <c r="A272" s="50" t="s">
        <v>668</v>
      </c>
      <c r="B272" s="146" t="s">
        <v>543</v>
      </c>
      <c r="C272" s="139" t="s">
        <v>669</v>
      </c>
      <c r="D272" s="139" t="s">
        <v>670</v>
      </c>
      <c r="E272" s="139"/>
      <c r="F272" s="50" t="s">
        <v>671</v>
      </c>
    </row>
    <row r="273" spans="1:6" ht="23.25" customHeight="1">
      <c r="A273" s="212" t="s">
        <v>672</v>
      </c>
      <c r="B273" s="146" t="s">
        <v>543</v>
      </c>
      <c r="C273" s="139" t="s">
        <v>673</v>
      </c>
      <c r="D273" s="139" t="s">
        <v>674</v>
      </c>
      <c r="E273" s="153"/>
      <c r="F273" s="138" t="s">
        <v>543</v>
      </c>
    </row>
    <row r="274" spans="1:6" ht="23.25" customHeight="1">
      <c r="A274" s="50" t="s">
        <v>675</v>
      </c>
      <c r="B274" s="146" t="s">
        <v>543</v>
      </c>
      <c r="C274" s="241" t="s">
        <v>676</v>
      </c>
      <c r="D274" s="139" t="s">
        <v>677</v>
      </c>
      <c r="E274" s="153"/>
      <c r="F274" s="138" t="s">
        <v>543</v>
      </c>
    </row>
    <row r="275" spans="1:6" ht="23.25" customHeight="1">
      <c r="A275" s="36"/>
      <c r="B275" s="146" t="s">
        <v>543</v>
      </c>
      <c r="C275" s="176" t="s">
        <v>678</v>
      </c>
      <c r="D275" s="139" t="s">
        <v>679</v>
      </c>
      <c r="E275" s="154"/>
      <c r="F275" s="156" t="s">
        <v>680</v>
      </c>
    </row>
    <row r="276" spans="1:6" ht="23.25" customHeight="1">
      <c r="A276" s="36" t="s">
        <v>543</v>
      </c>
      <c r="B276" s="146" t="s">
        <v>543</v>
      </c>
      <c r="C276" s="143" t="s">
        <v>543</v>
      </c>
      <c r="D276" s="143" t="s">
        <v>543</v>
      </c>
      <c r="E276" s="139"/>
      <c r="F276" s="36" t="s">
        <v>681</v>
      </c>
    </row>
    <row r="277" spans="1:6" ht="23.25" customHeight="1">
      <c r="A277" s="36" t="s">
        <v>543</v>
      </c>
      <c r="B277" s="146" t="s">
        <v>543</v>
      </c>
      <c r="C277" s="143" t="s">
        <v>543</v>
      </c>
      <c r="D277" s="143" t="s">
        <v>543</v>
      </c>
      <c r="E277" s="153"/>
      <c r="F277" s="36" t="s">
        <v>682</v>
      </c>
    </row>
    <row r="278" spans="1:6" ht="23.25" customHeight="1">
      <c r="A278" s="36" t="s">
        <v>543</v>
      </c>
      <c r="B278" s="146" t="s">
        <v>543</v>
      </c>
      <c r="C278" s="143" t="s">
        <v>543</v>
      </c>
      <c r="D278" s="143" t="s">
        <v>543</v>
      </c>
      <c r="E278" s="153"/>
      <c r="F278" s="138" t="s">
        <v>543</v>
      </c>
    </row>
    <row r="279" spans="1:6" ht="23.25" customHeight="1">
      <c r="A279" s="36" t="s">
        <v>543</v>
      </c>
      <c r="B279" s="146" t="s">
        <v>543</v>
      </c>
      <c r="C279" s="146" t="s">
        <v>543</v>
      </c>
      <c r="D279" s="143" t="s">
        <v>543</v>
      </c>
      <c r="E279" s="154"/>
      <c r="F279" s="156" t="s">
        <v>683</v>
      </c>
    </row>
    <row r="280" spans="1:6" ht="23.25" customHeight="1">
      <c r="A280" s="36" t="s">
        <v>543</v>
      </c>
      <c r="B280" s="146" t="s">
        <v>543</v>
      </c>
      <c r="C280" s="282">
        <v>415</v>
      </c>
      <c r="D280" s="283">
        <v>415</v>
      </c>
      <c r="E280" s="139"/>
      <c r="F280" s="36"/>
    </row>
    <row r="281" spans="1:6" ht="23.25" customHeight="1">
      <c r="A281" s="36" t="s">
        <v>543</v>
      </c>
      <c r="B281" s="146" t="s">
        <v>543</v>
      </c>
      <c r="C281" s="139" t="s">
        <v>684</v>
      </c>
      <c r="D281" s="139"/>
      <c r="E281" s="139"/>
      <c r="F281" s="36" t="s">
        <v>619</v>
      </c>
    </row>
    <row r="282" spans="1:6" ht="23.25" customHeight="1">
      <c r="A282" s="36" t="s">
        <v>543</v>
      </c>
      <c r="B282" s="146" t="s">
        <v>543</v>
      </c>
      <c r="C282" s="143" t="s">
        <v>685</v>
      </c>
      <c r="D282" s="145" t="s">
        <v>686</v>
      </c>
      <c r="E282" s="139"/>
      <c r="F282" s="50" t="s">
        <v>620</v>
      </c>
    </row>
    <row r="283" spans="1:6" ht="23.25" customHeight="1">
      <c r="A283" s="36" t="s">
        <v>543</v>
      </c>
      <c r="B283" s="146" t="s">
        <v>543</v>
      </c>
      <c r="C283" s="139" t="s">
        <v>687</v>
      </c>
      <c r="D283" s="139" t="s">
        <v>688</v>
      </c>
      <c r="E283" s="153"/>
      <c r="F283" s="2"/>
    </row>
    <row r="284" spans="1:6" ht="23.25" customHeight="1">
      <c r="A284" s="36" t="s">
        <v>543</v>
      </c>
      <c r="B284" s="146" t="s">
        <v>543</v>
      </c>
      <c r="C284" s="139" t="s">
        <v>689</v>
      </c>
      <c r="D284" s="139"/>
      <c r="E284" s="146" t="s">
        <v>543</v>
      </c>
      <c r="F284" s="156" t="s">
        <v>690</v>
      </c>
    </row>
    <row r="285" spans="1:6" ht="23.25" customHeight="1">
      <c r="A285" s="36" t="s">
        <v>543</v>
      </c>
      <c r="B285" s="146" t="s">
        <v>543</v>
      </c>
      <c r="C285" s="139" t="s">
        <v>691</v>
      </c>
      <c r="D285" s="139" t="s">
        <v>543</v>
      </c>
      <c r="E285" s="146" t="s">
        <v>543</v>
      </c>
      <c r="F285" s="50" t="s">
        <v>692</v>
      </c>
    </row>
    <row r="286" spans="1:6" ht="23.25" customHeight="1">
      <c r="A286" s="152" t="s">
        <v>693</v>
      </c>
      <c r="B286" s="146" t="s">
        <v>543</v>
      </c>
      <c r="C286" s="139"/>
      <c r="D286" s="143" t="s">
        <v>543</v>
      </c>
      <c r="E286" s="146" t="s">
        <v>543</v>
      </c>
      <c r="F286" s="2"/>
    </row>
    <row r="287" spans="1:6" ht="23.25" customHeight="1">
      <c r="A287" s="36" t="s">
        <v>694</v>
      </c>
      <c r="B287" s="146" t="s">
        <v>543</v>
      </c>
      <c r="C287" s="143" t="s">
        <v>543</v>
      </c>
      <c r="D287" s="143" t="s">
        <v>543</v>
      </c>
      <c r="E287" s="146" t="s">
        <v>543</v>
      </c>
      <c r="F287" s="2"/>
    </row>
    <row r="288" spans="1:6" ht="23.25" customHeight="1">
      <c r="A288" s="138" t="s">
        <v>543</v>
      </c>
      <c r="B288" s="146" t="s">
        <v>543</v>
      </c>
      <c r="C288" s="150" t="s">
        <v>695</v>
      </c>
      <c r="D288" s="151" t="s">
        <v>695</v>
      </c>
      <c r="E288" s="146" t="s">
        <v>543</v>
      </c>
      <c r="F288" s="2"/>
    </row>
    <row r="289" spans="1:6" ht="23.25" customHeight="1">
      <c r="A289" s="138" t="s">
        <v>543</v>
      </c>
      <c r="B289" s="146" t="s">
        <v>543</v>
      </c>
      <c r="C289" s="139" t="s">
        <v>696</v>
      </c>
      <c r="D289" s="139" t="s">
        <v>697</v>
      </c>
      <c r="E289" s="146" t="s">
        <v>543</v>
      </c>
      <c r="F289" s="2"/>
    </row>
    <row r="290" spans="1:6" ht="23.25" customHeight="1">
      <c r="A290" s="138" t="s">
        <v>543</v>
      </c>
      <c r="B290" s="146" t="s">
        <v>543</v>
      </c>
      <c r="C290" s="139"/>
      <c r="D290" s="153" t="s">
        <v>543</v>
      </c>
      <c r="E290" s="153" t="s">
        <v>543</v>
      </c>
    </row>
  </sheetData>
  <autoFilter ref="A6:I290" xr:uid="{E0A6EF96-7B31-474A-9D0D-17288412060D}"/>
  <mergeCells count="25">
    <mergeCell ref="G253:G259"/>
    <mergeCell ref="I1:I5"/>
    <mergeCell ref="A1:F1"/>
    <mergeCell ref="A2:F2"/>
    <mergeCell ref="A3:F3"/>
    <mergeCell ref="A4:F4"/>
    <mergeCell ref="A5:F5"/>
    <mergeCell ref="H1:H5"/>
    <mergeCell ref="G1:G5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7:L27"/>
    <mergeCell ref="J22:L22"/>
    <mergeCell ref="J23:L23"/>
    <mergeCell ref="J24:L24"/>
    <mergeCell ref="J25:L25"/>
    <mergeCell ref="J26:L26"/>
  </mergeCells>
  <phoneticPr fontId="1" type="noConversion"/>
  <conditionalFormatting sqref="E1:E6 E56:E245 E251:E252 E291:E1048576">
    <cfRule type="cellIs" dxfId="6" priority="14" operator="greaterThan">
      <formula>49</formula>
    </cfRule>
  </conditionalFormatting>
  <conditionalFormatting sqref="E6 E56:E99 E112:E245 E251:E252 E291:E1048576">
    <cfRule type="cellIs" dxfId="5" priority="20" operator="equal">
      <formula>75</formula>
    </cfRule>
  </conditionalFormatting>
  <conditionalFormatting sqref="E37:E43">
    <cfRule type="cellIs" dxfId="4" priority="1" operator="greaterThan">
      <formula>49</formula>
    </cfRule>
    <cfRule type="cellIs" dxfId="3" priority="2" operator="equal">
      <formula>75</formula>
    </cfRule>
  </conditionalFormatting>
  <conditionalFormatting sqref="E100:E111">
    <cfRule type="cellIs" dxfId="2" priority="16" stopIfTrue="1" operator="greaterThan">
      <formula>49</formula>
    </cfRule>
    <cfRule type="cellIs" dxfId="1" priority="17" stopIfTrue="1" operator="equal">
      <formula>75</formula>
    </cfRule>
  </conditionalFormatting>
  <conditionalFormatting sqref="H1:H1048576">
    <cfRule type="cellIs" dxfId="0" priority="11" operator="greaterThan">
      <formula>100</formula>
    </cfRule>
  </conditionalFormatting>
  <printOptions horizontalCentered="1"/>
  <pageMargins left="0.25" right="0.25" top="0.75" bottom="0.75" header="0.3" footer="0.3"/>
  <pageSetup paperSize="17" scale="54" fitToHeight="0" orientation="landscape" r:id="rId1"/>
  <rowBreaks count="3" manualBreakCount="3">
    <brk id="59" max="5" man="1"/>
    <brk id="111" max="5" man="1"/>
    <brk id="207" max="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035-41EC-4639-A899-84D61A94F4CD}">
  <dimension ref="A1:AB187"/>
  <sheetViews>
    <sheetView tabSelected="1" workbookViewId="0">
      <selection activeCell="Z1" sqref="Z1:Z1048576"/>
    </sheetView>
  </sheetViews>
  <sheetFormatPr defaultRowHeight="15"/>
  <cols>
    <col min="1" max="1" width="47.140625" bestFit="1" customWidth="1"/>
    <col min="2" max="2" width="5.140625" bestFit="1" customWidth="1"/>
    <col min="3" max="3" width="22" bestFit="1" customWidth="1"/>
    <col min="4" max="4" width="16.140625" bestFit="1" customWidth="1"/>
    <col min="5" max="5" width="8.28515625" bestFit="1" customWidth="1"/>
    <col min="7" max="7" width="43.140625" customWidth="1"/>
    <col min="8" max="8" width="15.85546875" customWidth="1"/>
    <col min="9" max="9" width="19.42578125" customWidth="1"/>
    <col min="26" max="26" width="75.7109375" customWidth="1"/>
    <col min="28" max="28" width="167.140625" customWidth="1"/>
    <col min="30" max="30" width="127.140625" customWidth="1"/>
  </cols>
  <sheetData>
    <row r="1" spans="1:28">
      <c r="A1" t="s">
        <v>698</v>
      </c>
      <c r="B1" t="s">
        <v>699</v>
      </c>
      <c r="C1" t="s">
        <v>10</v>
      </c>
      <c r="D1" t="s">
        <v>13</v>
      </c>
      <c r="E1" t="s">
        <v>700</v>
      </c>
      <c r="G1" t="s">
        <v>701</v>
      </c>
      <c r="H1" s="300" t="s">
        <v>702</v>
      </c>
      <c r="I1" t="s">
        <v>703</v>
      </c>
      <c r="J1" s="300" t="s">
        <v>704</v>
      </c>
      <c r="K1" t="s">
        <v>705</v>
      </c>
      <c r="L1" s="300" t="s">
        <v>702</v>
      </c>
      <c r="M1" t="s">
        <v>706</v>
      </c>
      <c r="N1" s="300" t="s">
        <v>704</v>
      </c>
      <c r="O1" t="s">
        <v>707</v>
      </c>
      <c r="P1" s="300" t="s">
        <v>702</v>
      </c>
      <c r="Q1" t="s">
        <v>708</v>
      </c>
      <c r="R1" s="300" t="s">
        <v>704</v>
      </c>
      <c r="S1" t="s">
        <v>709</v>
      </c>
      <c r="T1" s="300" t="s">
        <v>702</v>
      </c>
      <c r="U1" t="s">
        <v>710</v>
      </c>
      <c r="V1" s="300" t="s">
        <v>704</v>
      </c>
      <c r="W1" t="s">
        <v>711</v>
      </c>
      <c r="X1" t="s">
        <v>712</v>
      </c>
      <c r="Z1" t="s">
        <v>713</v>
      </c>
      <c r="AB1" t="s">
        <v>714</v>
      </c>
    </row>
    <row r="2" spans="1:28">
      <c r="A2" t="s">
        <v>14</v>
      </c>
      <c r="B2">
        <v>1001</v>
      </c>
      <c r="C2" t="s">
        <v>15</v>
      </c>
      <c r="D2" t="s">
        <v>17</v>
      </c>
      <c r="E2" t="s">
        <v>715</v>
      </c>
      <c r="G2" t="s">
        <v>716</v>
      </c>
      <c r="H2" s="300" t="str">
        <f>CHAR(39)</f>
        <v>'</v>
      </c>
      <c r="I2" t="str">
        <f>TRIM(SUBSTITUTE(D2,"'","''"))</f>
        <v>Tori Allard</v>
      </c>
      <c r="J2" s="300" t="str">
        <f>CHAR(39)</f>
        <v>'</v>
      </c>
      <c r="K2" t="s">
        <v>717</v>
      </c>
      <c r="L2" s="300" t="str">
        <f>CHAR(39)</f>
        <v>'</v>
      </c>
      <c r="M2" t="str">
        <f>TRIM(E2)</f>
        <v>North Building</v>
      </c>
      <c r="N2" s="300" t="str">
        <f>CHAR(39)</f>
        <v>'</v>
      </c>
      <c r="O2" t="s">
        <v>718</v>
      </c>
      <c r="P2" s="300" t="str">
        <f>CHAR(39)</f>
        <v>'</v>
      </c>
      <c r="Q2" t="str">
        <f>TRIM(SUBSTITUTE(IF(C2=0,"",C2),"'","''"))</f>
        <v>James Powers</v>
      </c>
      <c r="R2" s="300" t="str">
        <f>CHAR(39)</f>
        <v>'</v>
      </c>
      <c r="S2" t="s">
        <v>719</v>
      </c>
      <c r="T2" s="300" t="str">
        <f>CHAR(39)</f>
        <v>'</v>
      </c>
      <c r="U2" t="str">
        <f>TRIM(SUBSTITUTE(A2,"'","''"))</f>
        <v>FRAMING - XMEM</v>
      </c>
      <c r="V2" s="300" t="str">
        <f>CHAR(39)</f>
        <v>'</v>
      </c>
      <c r="W2" t="s">
        <v>720</v>
      </c>
      <c r="X2">
        <f>IF(ISNUMBER(B2),B2,CHAR(39)&amp;TRIM(B2)&amp;CHAR(39))</f>
        <v>1001</v>
      </c>
      <c r="Z2" t="str">
        <f>_xlfn.CONCAT(G2:X2)</f>
        <v>update [dbo].[Inventory] Set [Auditor]  = 'Tori Allard',[Building]  = 'North Building',[Writer] = 'James Powers',[AreaDesc] = 'FRAMING - XMEM' where [Area]=1001</v>
      </c>
      <c r="AB2" t="s">
        <v>721</v>
      </c>
    </row>
    <row r="3" spans="1:28">
      <c r="A3" t="s">
        <v>18</v>
      </c>
      <c r="B3">
        <v>1002</v>
      </c>
      <c r="C3" t="s">
        <v>19</v>
      </c>
      <c r="D3" t="s">
        <v>21</v>
      </c>
      <c r="E3" t="s">
        <v>715</v>
      </c>
      <c r="G3" t="s">
        <v>716</v>
      </c>
      <c r="H3" s="300" t="str">
        <f>CHAR(39)</f>
        <v>'</v>
      </c>
      <c r="I3" t="str">
        <f>TRIM(SUBSTITUTE(D3,"'","''"))</f>
        <v>Joseph Clair</v>
      </c>
      <c r="J3" s="300" t="str">
        <f>CHAR(39)</f>
        <v>'</v>
      </c>
      <c r="K3" t="s">
        <v>717</v>
      </c>
      <c r="L3" s="300" t="str">
        <f>CHAR(39)</f>
        <v>'</v>
      </c>
      <c r="M3" t="str">
        <f>TRIM(E3)</f>
        <v>North Building</v>
      </c>
      <c r="N3" s="300" t="str">
        <f>CHAR(39)</f>
        <v>'</v>
      </c>
      <c r="O3" t="s">
        <v>718</v>
      </c>
      <c r="P3" s="300" t="str">
        <f>CHAR(39)</f>
        <v>'</v>
      </c>
      <c r="Q3" t="str">
        <f>TRIM(SUBSTITUTE(IF(C3=0,"",C3),"'","''"))</f>
        <v>Lucas Hoover</v>
      </c>
      <c r="R3" s="300" t="str">
        <f>CHAR(39)</f>
        <v>'</v>
      </c>
      <c r="S3" t="s">
        <v>719</v>
      </c>
      <c r="T3" s="300" t="str">
        <f>CHAR(39)</f>
        <v>'</v>
      </c>
      <c r="U3" t="str">
        <f>TRIM(SUBSTITUTE(A3,"'","''"))</f>
        <v>FRAMING - PARTS &amp; OUTSIDE</v>
      </c>
      <c r="V3" s="300" t="str">
        <f>CHAR(39)</f>
        <v>'</v>
      </c>
      <c r="W3" t="s">
        <v>720</v>
      </c>
      <c r="X3">
        <f>IF(ISNUMBER(B3),B3,CHAR(39)&amp;TRIM(B3)&amp;CHAR(39))</f>
        <v>1002</v>
      </c>
      <c r="Z3" t="str">
        <f>_xlfn.CONCAT(G3:X3)</f>
        <v>update [dbo].[Inventory] Set [Auditor]  = 'Joseph Clair',[Building]  = 'North Building',[Writer] = 'Lucas Hoover',[AreaDesc] = 'FRAMING - PARTS &amp; OUTSIDE' where [Area]=1002</v>
      </c>
      <c r="AB3" t="s">
        <v>722</v>
      </c>
    </row>
    <row r="4" spans="1:28">
      <c r="A4" t="s">
        <v>22</v>
      </c>
      <c r="B4">
        <v>1003</v>
      </c>
      <c r="C4" t="s">
        <v>23</v>
      </c>
      <c r="D4" t="s">
        <v>25</v>
      </c>
      <c r="E4" t="s">
        <v>715</v>
      </c>
      <c r="G4" t="s">
        <v>716</v>
      </c>
      <c r="H4" s="300" t="str">
        <f>CHAR(39)</f>
        <v>'</v>
      </c>
      <c r="I4" t="str">
        <f>TRIM(SUBSTITUTE(D4,"'","''"))</f>
        <v>Trever Schneider</v>
      </c>
      <c r="J4" s="300" t="str">
        <f>CHAR(39)</f>
        <v>'</v>
      </c>
      <c r="K4" t="s">
        <v>717</v>
      </c>
      <c r="L4" s="300" t="str">
        <f>CHAR(39)</f>
        <v>'</v>
      </c>
      <c r="M4" t="str">
        <f>TRIM(E4)</f>
        <v>North Building</v>
      </c>
      <c r="N4" s="300" t="str">
        <f>CHAR(39)</f>
        <v>'</v>
      </c>
      <c r="O4" t="s">
        <v>718</v>
      </c>
      <c r="P4" s="300" t="str">
        <f>CHAR(39)</f>
        <v>'</v>
      </c>
      <c r="Q4" t="str">
        <f>TRIM(SUBSTITUTE(IF(C4=0,"",C4),"'","''"))</f>
        <v>Jeremy Parrott</v>
      </c>
      <c r="R4" s="300" t="str">
        <f>CHAR(39)</f>
        <v>'</v>
      </c>
      <c r="S4" t="s">
        <v>719</v>
      </c>
      <c r="T4" s="300" t="str">
        <f>CHAR(39)</f>
        <v>'</v>
      </c>
      <c r="U4" t="str">
        <f>TRIM(SUBSTITUTE(A4,"'","''"))</f>
        <v>MOTOR PANS</v>
      </c>
      <c r="V4" s="300" t="str">
        <f>CHAR(39)</f>
        <v>'</v>
      </c>
      <c r="W4" t="s">
        <v>720</v>
      </c>
      <c r="X4">
        <f>IF(ISNUMBER(B4),B4,CHAR(39)&amp;TRIM(B4)&amp;CHAR(39))</f>
        <v>1003</v>
      </c>
      <c r="Z4" t="str">
        <f>_xlfn.CONCAT(G4:X4)</f>
        <v>update [dbo].[Inventory] Set [Auditor]  = 'Trever Schneider',[Building]  = 'North Building',[Writer] = 'Jeremy Parrott',[AreaDesc] = 'MOTOR PANS' where [Area]=1003</v>
      </c>
      <c r="AB4" t="s">
        <v>723</v>
      </c>
    </row>
    <row r="5" spans="1:28">
      <c r="A5" t="s">
        <v>26</v>
      </c>
      <c r="B5">
        <v>1004</v>
      </c>
      <c r="C5" t="s">
        <v>27</v>
      </c>
      <c r="D5" t="s">
        <v>29</v>
      </c>
      <c r="E5" t="s">
        <v>715</v>
      </c>
      <c r="G5" t="s">
        <v>716</v>
      </c>
      <c r="H5" s="300" t="str">
        <f>CHAR(39)</f>
        <v>'</v>
      </c>
      <c r="I5" t="str">
        <f>TRIM(SUBSTITUTE(D5,"'","''"))</f>
        <v>David Brunner</v>
      </c>
      <c r="J5" s="300" t="str">
        <f>CHAR(39)</f>
        <v>'</v>
      </c>
      <c r="K5" t="s">
        <v>717</v>
      </c>
      <c r="L5" s="300" t="str">
        <f>CHAR(39)</f>
        <v>'</v>
      </c>
      <c r="M5" t="str">
        <f>TRIM(E5)</f>
        <v>North Building</v>
      </c>
      <c r="N5" s="300" t="str">
        <f>CHAR(39)</f>
        <v>'</v>
      </c>
      <c r="O5" t="s">
        <v>718</v>
      </c>
      <c r="P5" s="300" t="str">
        <f>CHAR(39)</f>
        <v>'</v>
      </c>
      <c r="Q5" t="str">
        <f>TRIM(SUBSTITUTE(IF(C5=0,"",C5),"'","''"))</f>
        <v>Chase Sulok</v>
      </c>
      <c r="R5" s="300" t="str">
        <f>CHAR(39)</f>
        <v>'</v>
      </c>
      <c r="S5" t="s">
        <v>719</v>
      </c>
      <c r="T5" s="300" t="str">
        <f>CHAR(39)</f>
        <v>'</v>
      </c>
      <c r="U5" t="str">
        <f>TRIM(SUBSTITUTE(A5,"'","''"))</f>
        <v>CROSS MEMBERS - TRANSOMS</v>
      </c>
      <c r="V5" s="300" t="str">
        <f>CHAR(39)</f>
        <v>'</v>
      </c>
      <c r="W5" t="s">
        <v>720</v>
      </c>
      <c r="X5">
        <f>IF(ISNUMBER(B5),B5,CHAR(39)&amp;TRIM(B5)&amp;CHAR(39))</f>
        <v>1004</v>
      </c>
      <c r="Z5" t="str">
        <f>_xlfn.CONCAT(G5:X5)</f>
        <v>update [dbo].[Inventory] Set [Auditor]  = 'David Brunner',[Building]  = 'North Building',[Writer] = 'Chase Sulok',[AreaDesc] = 'CROSS MEMBERS - TRANSOMS' where [Area]=1004</v>
      </c>
      <c r="AB5" t="s">
        <v>724</v>
      </c>
    </row>
    <row r="6" spans="1:28">
      <c r="A6" t="s">
        <v>30</v>
      </c>
      <c r="B6">
        <v>1006</v>
      </c>
      <c r="C6" t="s">
        <v>31</v>
      </c>
      <c r="D6" t="s">
        <v>25</v>
      </c>
      <c r="E6" t="s">
        <v>715</v>
      </c>
      <c r="G6" t="s">
        <v>716</v>
      </c>
      <c r="H6" s="300" t="str">
        <f>CHAR(39)</f>
        <v>'</v>
      </c>
      <c r="I6" t="str">
        <f>TRIM(SUBSTITUTE(D6,"'","''"))</f>
        <v>Trever Schneider</v>
      </c>
      <c r="J6" s="300" t="str">
        <f>CHAR(39)</f>
        <v>'</v>
      </c>
      <c r="K6" t="s">
        <v>717</v>
      </c>
      <c r="L6" s="300" t="str">
        <f>CHAR(39)</f>
        <v>'</v>
      </c>
      <c r="M6" t="str">
        <f>TRIM(E6)</f>
        <v>North Building</v>
      </c>
      <c r="N6" s="300" t="str">
        <f>CHAR(39)</f>
        <v>'</v>
      </c>
      <c r="O6" t="s">
        <v>718</v>
      </c>
      <c r="P6" s="300" t="str">
        <f>CHAR(39)</f>
        <v>'</v>
      </c>
      <c r="Q6" t="str">
        <f>TRIM(SUBSTITUTE(IF(C6=0,"",C6),"'","''"))</f>
        <v>Ryan Ayers</v>
      </c>
      <c r="R6" s="300" t="str">
        <f>CHAR(39)</f>
        <v>'</v>
      </c>
      <c r="S6" t="s">
        <v>719</v>
      </c>
      <c r="T6" s="300" t="str">
        <f>CHAR(39)</f>
        <v>'</v>
      </c>
      <c r="U6" t="str">
        <f>TRIM(SUBSTITUTE(A6,"'","''"))</f>
        <v>BOWRIDER &amp; FRT XMEM</v>
      </c>
      <c r="V6" s="300" t="str">
        <f>CHAR(39)</f>
        <v>'</v>
      </c>
      <c r="W6" t="s">
        <v>720</v>
      </c>
      <c r="X6">
        <f>IF(ISNUMBER(B6),B6,CHAR(39)&amp;TRIM(B6)&amp;CHAR(39))</f>
        <v>1006</v>
      </c>
      <c r="Z6" t="str">
        <f>_xlfn.CONCAT(G6:X6)</f>
        <v>update [dbo].[Inventory] Set [Auditor]  = 'Trever Schneider',[Building]  = 'North Building',[Writer] = 'Ryan Ayers',[AreaDesc] = 'BOWRIDER &amp; FRT XMEM' where [Area]=1006</v>
      </c>
      <c r="AB6" t="s">
        <v>725</v>
      </c>
    </row>
    <row r="7" spans="1:28">
      <c r="A7" t="s">
        <v>34</v>
      </c>
      <c r="B7">
        <v>1007</v>
      </c>
      <c r="C7" t="s">
        <v>35</v>
      </c>
      <c r="D7" t="s">
        <v>37</v>
      </c>
      <c r="E7" t="s">
        <v>715</v>
      </c>
      <c r="G7" t="s">
        <v>716</v>
      </c>
      <c r="H7" s="300" t="str">
        <f>CHAR(39)</f>
        <v>'</v>
      </c>
      <c r="I7" t="str">
        <f>TRIM(SUBSTITUTE(D7,"'","''"))</f>
        <v>Jessica Staley</v>
      </c>
      <c r="J7" s="300" t="str">
        <f>CHAR(39)</f>
        <v>'</v>
      </c>
      <c r="K7" t="s">
        <v>717</v>
      </c>
      <c r="L7" s="300" t="str">
        <f>CHAR(39)</f>
        <v>'</v>
      </c>
      <c r="M7" t="str">
        <f>TRIM(E7)</f>
        <v>North Building</v>
      </c>
      <c r="N7" s="300" t="str">
        <f>CHAR(39)</f>
        <v>'</v>
      </c>
      <c r="O7" t="s">
        <v>718</v>
      </c>
      <c r="P7" s="300" t="str">
        <f>CHAR(39)</f>
        <v>'</v>
      </c>
      <c r="Q7" t="str">
        <f>TRIM(SUBSTITUTE(IF(C7=0,"",C7),"'","''"))</f>
        <v>Jesse Weddell</v>
      </c>
      <c r="R7" s="300" t="str">
        <f>CHAR(39)</f>
        <v>'</v>
      </c>
      <c r="S7" t="s">
        <v>719</v>
      </c>
      <c r="T7" s="300" t="str">
        <f>CHAR(39)</f>
        <v>'</v>
      </c>
      <c r="U7" t="str">
        <f>TRIM(SUBSTITUTE(A7,"'","''"))</f>
        <v>BOWRIDER SMALL PARTS</v>
      </c>
      <c r="V7" s="300" t="str">
        <f>CHAR(39)</f>
        <v>'</v>
      </c>
      <c r="W7" t="s">
        <v>720</v>
      </c>
      <c r="X7">
        <f>IF(ISNUMBER(B7),B7,CHAR(39)&amp;TRIM(B7)&amp;CHAR(39))</f>
        <v>1007</v>
      </c>
      <c r="Z7" t="str">
        <f>_xlfn.CONCAT(G7:X7)</f>
        <v>update [dbo].[Inventory] Set [Auditor]  = 'Jessica Staley',[Building]  = 'North Building',[Writer] = 'Jesse Weddell',[AreaDesc] = 'BOWRIDER SMALL PARTS' where [Area]=1007</v>
      </c>
      <c r="AB7" t="s">
        <v>726</v>
      </c>
    </row>
    <row r="8" spans="1:28">
      <c r="A8" t="s">
        <v>39</v>
      </c>
      <c r="B8">
        <v>1008</v>
      </c>
      <c r="C8" t="s">
        <v>40</v>
      </c>
      <c r="D8" t="s">
        <v>21</v>
      </c>
      <c r="E8" t="s">
        <v>715</v>
      </c>
      <c r="G8" t="s">
        <v>716</v>
      </c>
      <c r="H8" s="300" t="str">
        <f>CHAR(39)</f>
        <v>'</v>
      </c>
      <c r="I8" t="str">
        <f>TRIM(SUBSTITUTE(D8,"'","''"))</f>
        <v>Joseph Clair</v>
      </c>
      <c r="J8" s="300" t="str">
        <f>CHAR(39)</f>
        <v>'</v>
      </c>
      <c r="K8" t="s">
        <v>717</v>
      </c>
      <c r="L8" s="300" t="str">
        <f>CHAR(39)</f>
        <v>'</v>
      </c>
      <c r="M8" t="str">
        <f>TRIM(E8)</f>
        <v>North Building</v>
      </c>
      <c r="N8" s="300" t="str">
        <f>CHAR(39)</f>
        <v>'</v>
      </c>
      <c r="O8" t="s">
        <v>718</v>
      </c>
      <c r="P8" s="300" t="str">
        <f>CHAR(39)</f>
        <v>'</v>
      </c>
      <c r="Q8" t="str">
        <f>TRIM(SUBSTITUTE(IF(C8=0,"",C8),"'","''"))</f>
        <v>Jeff Riggs</v>
      </c>
      <c r="R8" s="300" t="str">
        <f>CHAR(39)</f>
        <v>'</v>
      </c>
      <c r="S8" t="s">
        <v>719</v>
      </c>
      <c r="T8" s="300" t="str">
        <f>CHAR(39)</f>
        <v>'</v>
      </c>
      <c r="U8" t="str">
        <f>TRIM(SUBSTITUTE(A8,"'","''"))</f>
        <v>SMALL PARTS &amp; CHINES &amp; FOILS</v>
      </c>
      <c r="V8" s="300" t="str">
        <f>CHAR(39)</f>
        <v>'</v>
      </c>
      <c r="W8" t="s">
        <v>720</v>
      </c>
      <c r="X8">
        <f>IF(ISNUMBER(B8),B8,CHAR(39)&amp;TRIM(B8)&amp;CHAR(39))</f>
        <v>1008</v>
      </c>
      <c r="Z8" t="str">
        <f>_xlfn.CONCAT(G8:X8)</f>
        <v>update [dbo].[Inventory] Set [Auditor]  = 'Joseph Clair',[Building]  = 'North Building',[Writer] = 'Jeff Riggs',[AreaDesc] = 'SMALL PARTS &amp; CHINES &amp; FOILS' where [Area]=1008</v>
      </c>
      <c r="AB8" t="s">
        <v>727</v>
      </c>
    </row>
    <row r="9" spans="1:28">
      <c r="A9" t="s">
        <v>43</v>
      </c>
      <c r="B9">
        <v>1009</v>
      </c>
      <c r="C9" t="s">
        <v>44</v>
      </c>
      <c r="D9" t="s">
        <v>46</v>
      </c>
      <c r="E9" t="s">
        <v>715</v>
      </c>
      <c r="G9" t="s">
        <v>716</v>
      </c>
      <c r="H9" s="300" t="str">
        <f>CHAR(39)</f>
        <v>'</v>
      </c>
      <c r="I9" t="str">
        <f>TRIM(SUBSTITUTE(D9,"'","''"))</f>
        <v>Brandon Jones</v>
      </c>
      <c r="J9" s="300" t="str">
        <f>CHAR(39)</f>
        <v>'</v>
      </c>
      <c r="K9" t="s">
        <v>717</v>
      </c>
      <c r="L9" s="300" t="str">
        <f>CHAR(39)</f>
        <v>'</v>
      </c>
      <c r="M9" t="str">
        <f>TRIM(E9)</f>
        <v>North Building</v>
      </c>
      <c r="N9" s="300" t="str">
        <f>CHAR(39)</f>
        <v>'</v>
      </c>
      <c r="O9" t="s">
        <v>718</v>
      </c>
      <c r="P9" s="300" t="str">
        <f>CHAR(39)</f>
        <v>'</v>
      </c>
      <c r="Q9" t="str">
        <f>TRIM(SUBSTITUTE(IF(C9=0,"",C9),"'","''"))</f>
        <v>John Anderson</v>
      </c>
      <c r="R9" s="300" t="str">
        <f>CHAR(39)</f>
        <v>'</v>
      </c>
      <c r="S9" t="s">
        <v>719</v>
      </c>
      <c r="T9" s="300" t="str">
        <f>CHAR(39)</f>
        <v>'</v>
      </c>
      <c r="U9" t="str">
        <f>TRIM(SUBSTITUTE(A9,"'","''"))</f>
        <v>SAW &amp; CHINE</v>
      </c>
      <c r="V9" s="300" t="str">
        <f>CHAR(39)</f>
        <v>'</v>
      </c>
      <c r="W9" t="s">
        <v>720</v>
      </c>
      <c r="X9">
        <f>IF(ISNUMBER(B9),B9,CHAR(39)&amp;TRIM(B9)&amp;CHAR(39))</f>
        <v>1009</v>
      </c>
      <c r="Z9" t="str">
        <f>_xlfn.CONCAT(G9:X9)</f>
        <v>update [dbo].[Inventory] Set [Auditor]  = 'Brandon Jones',[Building]  = 'North Building',[Writer] = 'John Anderson',[AreaDesc] = 'SAW &amp; CHINE' where [Area]=1009</v>
      </c>
      <c r="AB9" t="s">
        <v>728</v>
      </c>
    </row>
    <row r="10" spans="1:28">
      <c r="A10" t="s">
        <v>48</v>
      </c>
      <c r="B10">
        <v>1010</v>
      </c>
      <c r="C10" t="s">
        <v>49</v>
      </c>
      <c r="D10" t="s">
        <v>46</v>
      </c>
      <c r="E10" t="s">
        <v>715</v>
      </c>
      <c r="G10" t="s">
        <v>716</v>
      </c>
      <c r="H10" s="300" t="str">
        <f>CHAR(39)</f>
        <v>'</v>
      </c>
      <c r="I10" t="str">
        <f>TRIM(SUBSTITUTE(D10,"'","''"))</f>
        <v>Brandon Jones</v>
      </c>
      <c r="J10" s="300" t="str">
        <f>CHAR(39)</f>
        <v>'</v>
      </c>
      <c r="K10" t="s">
        <v>717</v>
      </c>
      <c r="L10" s="300" t="str">
        <f>CHAR(39)</f>
        <v>'</v>
      </c>
      <c r="M10" t="str">
        <f>TRIM(E10)</f>
        <v>North Building</v>
      </c>
      <c r="N10" s="300" t="str">
        <f>CHAR(39)</f>
        <v>'</v>
      </c>
      <c r="O10" t="s">
        <v>718</v>
      </c>
      <c r="P10" s="300" t="str">
        <f>CHAR(39)</f>
        <v>'</v>
      </c>
      <c r="Q10" t="str">
        <f>TRIM(SUBSTITUTE(IF(C10=0,"",C10),"'","''"))</f>
        <v>Sergio Arellano Jr</v>
      </c>
      <c r="R10" s="300" t="str">
        <f>CHAR(39)</f>
        <v>'</v>
      </c>
      <c r="S10" t="s">
        <v>719</v>
      </c>
      <c r="T10" s="300" t="str">
        <f>CHAR(39)</f>
        <v>'</v>
      </c>
      <c r="U10" t="str">
        <f>TRIM(SUBSTITUTE(A10,"'","''"))</f>
        <v>FAB (NORTH) BREAK PRESS &amp; RACKS</v>
      </c>
      <c r="V10" s="300" t="str">
        <f>CHAR(39)</f>
        <v>'</v>
      </c>
      <c r="W10" t="s">
        <v>720</v>
      </c>
      <c r="X10">
        <f>IF(ISNUMBER(B10),B10,CHAR(39)&amp;TRIM(B10)&amp;CHAR(39))</f>
        <v>1010</v>
      </c>
      <c r="Z10" t="str">
        <f>_xlfn.CONCAT(G10:X10)</f>
        <v>update [dbo].[Inventory] Set [Auditor]  = 'Brandon Jones',[Building]  = 'North Building',[Writer] = 'Sergio Arellano Jr',[AreaDesc] = 'FAB (NORTH) BREAK PRESS &amp; RACKS' where [Area]=1010</v>
      </c>
      <c r="AB10" t="s">
        <v>729</v>
      </c>
    </row>
    <row r="11" spans="1:28">
      <c r="A11" t="s">
        <v>52</v>
      </c>
      <c r="B11">
        <v>1011</v>
      </c>
      <c r="C11" t="s">
        <v>53</v>
      </c>
      <c r="D11" t="s">
        <v>55</v>
      </c>
      <c r="E11" t="s">
        <v>715</v>
      </c>
      <c r="G11" t="s">
        <v>716</v>
      </c>
      <c r="H11" s="300" t="str">
        <f>CHAR(39)</f>
        <v>'</v>
      </c>
      <c r="I11" t="str">
        <f>TRIM(SUBSTITUTE(D11,"'","''"))</f>
        <v>GeriLynn Olson</v>
      </c>
      <c r="J11" s="300" t="str">
        <f>CHAR(39)</f>
        <v>'</v>
      </c>
      <c r="K11" t="s">
        <v>717</v>
      </c>
      <c r="L11" s="300" t="str">
        <f>CHAR(39)</f>
        <v>'</v>
      </c>
      <c r="M11" t="str">
        <f>TRIM(E11)</f>
        <v>North Building</v>
      </c>
      <c r="N11" s="300" t="str">
        <f>CHAR(39)</f>
        <v>'</v>
      </c>
      <c r="O11" t="s">
        <v>718</v>
      </c>
      <c r="P11" s="300" t="str">
        <f>CHAR(39)</f>
        <v>'</v>
      </c>
      <c r="Q11" t="str">
        <f>TRIM(SUBSTITUTE(IF(C11=0,"",C11),"'","''"))</f>
        <v>Rigoberto Garcia Torres</v>
      </c>
      <c r="R11" s="300" t="str">
        <f>CHAR(39)</f>
        <v>'</v>
      </c>
      <c r="S11" t="s">
        <v>719</v>
      </c>
      <c r="T11" s="300" t="str">
        <f>CHAR(39)</f>
        <v>'</v>
      </c>
      <c r="U11" t="str">
        <f>TRIM(SUBSTITUTE(A11,"'","''"))</f>
        <v>FAB (NORTH) FLAT STOCK</v>
      </c>
      <c r="V11" s="300" t="str">
        <f>CHAR(39)</f>
        <v>'</v>
      </c>
      <c r="W11" t="s">
        <v>720</v>
      </c>
      <c r="X11">
        <f>IF(ISNUMBER(B11),B11,CHAR(39)&amp;TRIM(B11)&amp;CHAR(39))</f>
        <v>1011</v>
      </c>
      <c r="Z11" t="str">
        <f>_xlfn.CONCAT(G11:X11)</f>
        <v>update [dbo].[Inventory] Set [Auditor]  = 'GeriLynn Olson',[Building]  = 'North Building',[Writer] = 'Rigoberto Garcia Torres',[AreaDesc] = 'FAB (NORTH) FLAT STOCK' where [Area]=1011</v>
      </c>
      <c r="AB11" t="s">
        <v>730</v>
      </c>
    </row>
    <row r="12" spans="1:28">
      <c r="A12" t="s">
        <v>57</v>
      </c>
      <c r="B12">
        <v>1012</v>
      </c>
      <c r="C12" t="s">
        <v>731</v>
      </c>
      <c r="D12" t="s">
        <v>60</v>
      </c>
      <c r="E12" t="s">
        <v>715</v>
      </c>
      <c r="G12" t="s">
        <v>716</v>
      </c>
      <c r="H12" s="300" t="str">
        <f>CHAR(39)</f>
        <v>'</v>
      </c>
      <c r="I12" t="str">
        <f>TRIM(SUBSTITUTE(D12,"'","''"))</f>
        <v>Jordan Kenney</v>
      </c>
      <c r="J12" s="300" t="str">
        <f>CHAR(39)</f>
        <v>'</v>
      </c>
      <c r="K12" t="s">
        <v>717</v>
      </c>
      <c r="L12" s="300" t="str">
        <f>CHAR(39)</f>
        <v>'</v>
      </c>
      <c r="M12" t="str">
        <f>TRIM(E12)</f>
        <v>North Building</v>
      </c>
      <c r="N12" s="300" t="str">
        <f>CHAR(39)</f>
        <v>'</v>
      </c>
      <c r="O12" t="s">
        <v>718</v>
      </c>
      <c r="P12" s="300" t="str">
        <f>CHAR(39)</f>
        <v>'</v>
      </c>
      <c r="Q12" t="str">
        <f>TRIM(SUBSTITUTE(IF(C12=0,"",C12),"'","''"))</f>
        <v>John Azuladua</v>
      </c>
      <c r="R12" s="300" t="str">
        <f>CHAR(39)</f>
        <v>'</v>
      </c>
      <c r="S12" t="s">
        <v>719</v>
      </c>
      <c r="T12" s="300" t="str">
        <f>CHAR(39)</f>
        <v>'</v>
      </c>
      <c r="U12" t="str">
        <f>TRIM(SUBSTITUTE(A12,"'","''"))</f>
        <v>CHINE MATERIAL</v>
      </c>
      <c r="V12" s="300" t="str">
        <f>CHAR(39)</f>
        <v>'</v>
      </c>
      <c r="W12" t="s">
        <v>720</v>
      </c>
      <c r="X12">
        <f>IF(ISNUMBER(B12),B12,CHAR(39)&amp;TRIM(B12)&amp;CHAR(39))</f>
        <v>1012</v>
      </c>
      <c r="Z12" t="str">
        <f>_xlfn.CONCAT(G12:X12)</f>
        <v>update [dbo].[Inventory] Set [Auditor]  = 'Jordan Kenney',[Building]  = 'North Building',[Writer] = 'John Azuladua',[AreaDesc] = 'CHINE MATERIAL' where [Area]=1012</v>
      </c>
      <c r="AB12" t="s">
        <v>732</v>
      </c>
    </row>
    <row r="13" spans="1:28">
      <c r="A13" t="s">
        <v>62</v>
      </c>
      <c r="B13">
        <v>1013</v>
      </c>
      <c r="C13" t="s">
        <v>63</v>
      </c>
      <c r="D13" t="s">
        <v>60</v>
      </c>
      <c r="E13" t="s">
        <v>715</v>
      </c>
      <c r="G13" t="s">
        <v>716</v>
      </c>
      <c r="H13" s="300" t="str">
        <f>CHAR(39)</f>
        <v>'</v>
      </c>
      <c r="I13" t="str">
        <f>TRIM(SUBSTITUTE(D13,"'","''"))</f>
        <v>Jordan Kenney</v>
      </c>
      <c r="J13" s="300" t="str">
        <f>CHAR(39)</f>
        <v>'</v>
      </c>
      <c r="K13" t="s">
        <v>717</v>
      </c>
      <c r="L13" s="300" t="str">
        <f>CHAR(39)</f>
        <v>'</v>
      </c>
      <c r="M13" t="str">
        <f>TRIM(E13)</f>
        <v>North Building</v>
      </c>
      <c r="N13" s="300" t="str">
        <f>CHAR(39)</f>
        <v>'</v>
      </c>
      <c r="O13" t="s">
        <v>718</v>
      </c>
      <c r="P13" s="300" t="str">
        <f>CHAR(39)</f>
        <v>'</v>
      </c>
      <c r="Q13" t="str">
        <f>TRIM(SUBSTITUTE(IF(C13=0,"",C13),"'","''"))</f>
        <v>Steven Christopher Jr.</v>
      </c>
      <c r="R13" s="300" t="str">
        <f>CHAR(39)</f>
        <v>'</v>
      </c>
      <c r="S13" t="s">
        <v>719</v>
      </c>
      <c r="T13" s="300" t="str">
        <f>CHAR(39)</f>
        <v>'</v>
      </c>
      <c r="U13" t="str">
        <f>TRIM(SUBSTITUTE(A13,"'","''"))</f>
        <v>FOIL STATIONS &amp; BRKTS</v>
      </c>
      <c r="V13" s="300" t="str">
        <f>CHAR(39)</f>
        <v>'</v>
      </c>
      <c r="W13" t="s">
        <v>720</v>
      </c>
      <c r="X13">
        <f>IF(ISNUMBER(B13),B13,CHAR(39)&amp;TRIM(B13)&amp;CHAR(39))</f>
        <v>1013</v>
      </c>
      <c r="Z13" t="str">
        <f>_xlfn.CONCAT(G13:X13)</f>
        <v>update [dbo].[Inventory] Set [Auditor]  = 'Jordan Kenney',[Building]  = 'North Building',[Writer] = 'Steven Christopher Jr.',[AreaDesc] = 'FOIL STATIONS &amp; BRKTS' where [Area]=1013</v>
      </c>
      <c r="AB13" t="s">
        <v>733</v>
      </c>
    </row>
    <row r="14" spans="1:28">
      <c r="A14" t="s">
        <v>66</v>
      </c>
      <c r="B14">
        <v>1014</v>
      </c>
      <c r="C14" t="s">
        <v>734</v>
      </c>
      <c r="D14" t="s">
        <v>46</v>
      </c>
      <c r="E14" t="s">
        <v>715</v>
      </c>
      <c r="G14" t="s">
        <v>716</v>
      </c>
      <c r="H14" s="300" t="str">
        <f>CHAR(39)</f>
        <v>'</v>
      </c>
      <c r="I14" t="str">
        <f>TRIM(SUBSTITUTE(D14,"'","''"))</f>
        <v>Brandon Jones</v>
      </c>
      <c r="J14" s="300" t="str">
        <f>CHAR(39)</f>
        <v>'</v>
      </c>
      <c r="K14" t="s">
        <v>717</v>
      </c>
      <c r="L14" s="300" t="str">
        <f>CHAR(39)</f>
        <v>'</v>
      </c>
      <c r="M14" t="str">
        <f>TRIM(E14)</f>
        <v>North Building</v>
      </c>
      <c r="N14" s="300" t="str">
        <f>CHAR(39)</f>
        <v>'</v>
      </c>
      <c r="O14" t="s">
        <v>718</v>
      </c>
      <c r="P14" s="300" t="str">
        <f>CHAR(39)</f>
        <v>'</v>
      </c>
      <c r="Q14" t="str">
        <f>TRIM(SUBSTITUTE(IF(C14=0,"",C14),"'","''"))</f>
        <v>Cristian Murillo</v>
      </c>
      <c r="R14" s="300" t="str">
        <f>CHAR(39)</f>
        <v>'</v>
      </c>
      <c r="S14" t="s">
        <v>719</v>
      </c>
      <c r="T14" s="300" t="str">
        <f>CHAR(39)</f>
        <v>'</v>
      </c>
      <c r="U14" t="str">
        <f>TRIM(SUBSTITUTE(A14,"'","''"))</f>
        <v>AIR CHECK</v>
      </c>
      <c r="V14" s="300" t="str">
        <f>CHAR(39)</f>
        <v>'</v>
      </c>
      <c r="W14" t="s">
        <v>720</v>
      </c>
      <c r="X14">
        <f>IF(ISNUMBER(B14),B14,CHAR(39)&amp;TRIM(B14)&amp;CHAR(39))</f>
        <v>1014</v>
      </c>
      <c r="Z14" t="str">
        <f>_xlfn.CONCAT(G14:X14)</f>
        <v>update [dbo].[Inventory] Set [Auditor]  = 'Brandon Jones',[Building]  = 'North Building',[Writer] = 'Cristian Murillo',[AreaDesc] = 'AIR CHECK' where [Area]=1014</v>
      </c>
      <c r="AB14" t="s">
        <v>735</v>
      </c>
    </row>
    <row r="15" spans="1:28">
      <c r="A15" t="s">
        <v>70</v>
      </c>
      <c r="B15">
        <v>1015</v>
      </c>
      <c r="C15" t="s">
        <v>71</v>
      </c>
      <c r="D15" t="s">
        <v>29</v>
      </c>
      <c r="E15" t="s">
        <v>715</v>
      </c>
      <c r="G15" t="s">
        <v>716</v>
      </c>
      <c r="H15" s="300" t="str">
        <f>CHAR(39)</f>
        <v>'</v>
      </c>
      <c r="I15" t="str">
        <f>TRIM(SUBSTITUTE(D15,"'","''"))</f>
        <v>David Brunner</v>
      </c>
      <c r="J15" s="300" t="str">
        <f>CHAR(39)</f>
        <v>'</v>
      </c>
      <c r="K15" t="s">
        <v>717</v>
      </c>
      <c r="L15" s="300" t="str">
        <f>CHAR(39)</f>
        <v>'</v>
      </c>
      <c r="M15" t="str">
        <f>TRIM(E15)</f>
        <v>North Building</v>
      </c>
      <c r="N15" s="300" t="str">
        <f>CHAR(39)</f>
        <v>'</v>
      </c>
      <c r="O15" t="s">
        <v>718</v>
      </c>
      <c r="P15" s="300" t="str">
        <f>CHAR(39)</f>
        <v>'</v>
      </c>
      <c r="Q15" t="str">
        <f>TRIM(SUBSTITUTE(IF(C15=0,"",C15),"'","''"))</f>
        <v>Cody Gouker</v>
      </c>
      <c r="R15" s="300" t="str">
        <f>CHAR(39)</f>
        <v>'</v>
      </c>
      <c r="S15" t="s">
        <v>719</v>
      </c>
      <c r="T15" s="300" t="str">
        <f>CHAR(39)</f>
        <v>'</v>
      </c>
      <c r="U15" t="str">
        <f>TRIM(SUBSTITUTE(A15,"'","''"))</f>
        <v>OUTSIDE - PANELS</v>
      </c>
      <c r="V15" s="300" t="str">
        <f>CHAR(39)</f>
        <v>'</v>
      </c>
      <c r="W15" t="s">
        <v>720</v>
      </c>
      <c r="X15">
        <f>IF(ISNUMBER(B15),B15,CHAR(39)&amp;TRIM(B15)&amp;CHAR(39))</f>
        <v>1015</v>
      </c>
      <c r="Z15" t="str">
        <f>_xlfn.CONCAT(G15:X15)</f>
        <v>update [dbo].[Inventory] Set [Auditor]  = 'David Brunner',[Building]  = 'North Building',[Writer] = 'Cody Gouker',[AreaDesc] = 'OUTSIDE - PANELS' where [Area]=1015</v>
      </c>
      <c r="AB15" t="s">
        <v>736</v>
      </c>
    </row>
    <row r="16" spans="1:28">
      <c r="A16" t="s">
        <v>74</v>
      </c>
      <c r="B16">
        <v>1016</v>
      </c>
      <c r="C16" t="s">
        <v>75</v>
      </c>
      <c r="D16" t="s">
        <v>29</v>
      </c>
      <c r="E16" t="s">
        <v>715</v>
      </c>
      <c r="G16" t="s">
        <v>716</v>
      </c>
      <c r="H16" s="300" t="str">
        <f>CHAR(39)</f>
        <v>'</v>
      </c>
      <c r="I16" t="str">
        <f>TRIM(SUBSTITUTE(D16,"'","''"))</f>
        <v>David Brunner</v>
      </c>
      <c r="J16" s="300" t="str">
        <f>CHAR(39)</f>
        <v>'</v>
      </c>
      <c r="K16" t="s">
        <v>717</v>
      </c>
      <c r="L16" s="300" t="str">
        <f>CHAR(39)</f>
        <v>'</v>
      </c>
      <c r="M16" t="str">
        <f>TRIM(E16)</f>
        <v>North Building</v>
      </c>
      <c r="N16" s="300" t="str">
        <f>CHAR(39)</f>
        <v>'</v>
      </c>
      <c r="O16" t="s">
        <v>718</v>
      </c>
      <c r="P16" s="300" t="str">
        <f>CHAR(39)</f>
        <v>'</v>
      </c>
      <c r="Q16" t="str">
        <f>TRIM(SUBSTITUTE(IF(C16=0,"",C16),"'","''"))</f>
        <v>Avaughn Jamison</v>
      </c>
      <c r="R16" s="300" t="str">
        <f>CHAR(39)</f>
        <v>'</v>
      </c>
      <c r="S16" t="s">
        <v>719</v>
      </c>
      <c r="T16" s="300" t="str">
        <f>CHAR(39)</f>
        <v>'</v>
      </c>
      <c r="U16" t="str">
        <f>TRIM(SUBSTITUTE(A16,"'","''"))</f>
        <v>ROUND SEAM - BRACKETS</v>
      </c>
      <c r="V16" s="300" t="str">
        <f>CHAR(39)</f>
        <v>'</v>
      </c>
      <c r="W16" t="s">
        <v>720</v>
      </c>
      <c r="X16">
        <f>IF(ISNUMBER(B16),B16,CHAR(39)&amp;TRIM(B16)&amp;CHAR(39))</f>
        <v>1016</v>
      </c>
      <c r="Z16" t="str">
        <f>_xlfn.CONCAT(G16:X16)</f>
        <v>update [dbo].[Inventory] Set [Auditor]  = 'David Brunner',[Building]  = 'North Building',[Writer] = 'Avaughn Jamison',[AreaDesc] = 'ROUND SEAM - BRACKETS' where [Area]=1016</v>
      </c>
      <c r="AB16" t="s">
        <v>737</v>
      </c>
    </row>
    <row r="17" spans="1:28">
      <c r="A17" t="s">
        <v>78</v>
      </c>
      <c r="B17">
        <v>1017</v>
      </c>
      <c r="C17" t="s">
        <v>79</v>
      </c>
      <c r="D17" t="s">
        <v>17</v>
      </c>
      <c r="E17" t="s">
        <v>715</v>
      </c>
      <c r="G17" t="s">
        <v>716</v>
      </c>
      <c r="H17" s="300" t="str">
        <f>CHAR(39)</f>
        <v>'</v>
      </c>
      <c r="I17" t="str">
        <f>TRIM(SUBSTITUTE(D17,"'","''"))</f>
        <v>Tori Allard</v>
      </c>
      <c r="J17" s="300" t="str">
        <f>CHAR(39)</f>
        <v>'</v>
      </c>
      <c r="K17" t="s">
        <v>717</v>
      </c>
      <c r="L17" s="300" t="str">
        <f>CHAR(39)</f>
        <v>'</v>
      </c>
      <c r="M17" t="str">
        <f>TRIM(E17)</f>
        <v>North Building</v>
      </c>
      <c r="N17" s="300" t="str">
        <f>CHAR(39)</f>
        <v>'</v>
      </c>
      <c r="O17" t="s">
        <v>718</v>
      </c>
      <c r="P17" s="300" t="str">
        <f>CHAR(39)</f>
        <v>'</v>
      </c>
      <c r="Q17" t="str">
        <f>TRIM(SUBSTITUTE(IF(C17=0,"",C17),"'","''"))</f>
        <v>Kathryn Palmer</v>
      </c>
      <c r="R17" s="300" t="str">
        <f>CHAR(39)</f>
        <v>'</v>
      </c>
      <c r="S17" t="s">
        <v>719</v>
      </c>
      <c r="T17" s="300" t="str">
        <f>CHAR(39)</f>
        <v>'</v>
      </c>
      <c r="U17" t="str">
        <f>TRIM(SUBSTITUTE(A17,"'","''"))</f>
        <v>NOSE STOCK</v>
      </c>
      <c r="V17" s="300" t="str">
        <f>CHAR(39)</f>
        <v>'</v>
      </c>
      <c r="W17" t="s">
        <v>720</v>
      </c>
      <c r="X17">
        <f>IF(ISNUMBER(B17),B17,CHAR(39)&amp;TRIM(B17)&amp;CHAR(39))</f>
        <v>1017</v>
      </c>
      <c r="Z17" t="str">
        <f>_xlfn.CONCAT(G17:X17)</f>
        <v>update [dbo].[Inventory] Set [Auditor]  = 'Tori Allard',[Building]  = 'North Building',[Writer] = 'Kathryn Palmer',[AreaDesc] = 'NOSE STOCK' where [Area]=1017</v>
      </c>
      <c r="AB17" t="s">
        <v>738</v>
      </c>
    </row>
    <row r="18" spans="1:28">
      <c r="A18" t="s">
        <v>82</v>
      </c>
      <c r="B18">
        <v>1018</v>
      </c>
      <c r="C18" t="s">
        <v>83</v>
      </c>
      <c r="D18" t="s">
        <v>84</v>
      </c>
      <c r="E18" t="s">
        <v>715</v>
      </c>
      <c r="G18" t="s">
        <v>716</v>
      </c>
      <c r="H18" s="300" t="str">
        <f>CHAR(39)</f>
        <v>'</v>
      </c>
      <c r="I18" t="str">
        <f>TRIM(SUBSTITUTE(D18,"'","''"))</f>
        <v>Ian Smith</v>
      </c>
      <c r="J18" s="300" t="str">
        <f>CHAR(39)</f>
        <v>'</v>
      </c>
      <c r="K18" t="s">
        <v>717</v>
      </c>
      <c r="L18" s="300" t="str">
        <f>CHAR(39)</f>
        <v>'</v>
      </c>
      <c r="M18" t="str">
        <f>TRIM(E18)</f>
        <v>North Building</v>
      </c>
      <c r="N18" s="300" t="str">
        <f>CHAR(39)</f>
        <v>'</v>
      </c>
      <c r="O18" t="s">
        <v>718</v>
      </c>
      <c r="P18" s="300" t="str">
        <f>CHAR(39)</f>
        <v>'</v>
      </c>
      <c r="Q18" t="str">
        <f>TRIM(SUBSTITUTE(IF(C18=0,"",C18),"'","''"))</f>
        <v>Jaidon Hainey</v>
      </c>
      <c r="R18" s="300" t="str">
        <f>CHAR(39)</f>
        <v>'</v>
      </c>
      <c r="S18" t="s">
        <v>719</v>
      </c>
      <c r="T18" s="300" t="str">
        <f>CHAR(39)</f>
        <v>'</v>
      </c>
      <c r="U18" t="str">
        <f>TRIM(SUBSTITUTE(A18,"'","''"))</f>
        <v>NEW BLDG, ENGINEERING</v>
      </c>
      <c r="V18" s="300" t="str">
        <f>CHAR(39)</f>
        <v>'</v>
      </c>
      <c r="W18" t="s">
        <v>720</v>
      </c>
      <c r="X18">
        <f>IF(ISNUMBER(B18),B18,CHAR(39)&amp;TRIM(B18)&amp;CHAR(39))</f>
        <v>1018</v>
      </c>
      <c r="Z18" t="str">
        <f>_xlfn.CONCAT(G18:X18)</f>
        <v>update [dbo].[Inventory] Set [Auditor]  = 'Ian Smith',[Building]  = 'North Building',[Writer] = 'Jaidon Hainey',[AreaDesc] = 'NEW BLDG, ENGINEERING' where [Area]=1018</v>
      </c>
      <c r="AB18" t="s">
        <v>739</v>
      </c>
    </row>
    <row r="19" spans="1:28">
      <c r="A19" t="s">
        <v>86</v>
      </c>
      <c r="B19">
        <v>1019</v>
      </c>
      <c r="C19" t="s">
        <v>87</v>
      </c>
      <c r="D19" t="s">
        <v>89</v>
      </c>
      <c r="E19" t="s">
        <v>715</v>
      </c>
      <c r="G19" t="s">
        <v>716</v>
      </c>
      <c r="H19" s="300" t="str">
        <f>CHAR(39)</f>
        <v>'</v>
      </c>
      <c r="I19" t="str">
        <f>TRIM(SUBSTITUTE(D19,"'","''"))</f>
        <v>Norma Reynolds</v>
      </c>
      <c r="J19" s="300" t="str">
        <f>CHAR(39)</f>
        <v>'</v>
      </c>
      <c r="K19" t="s">
        <v>717</v>
      </c>
      <c r="L19" s="300" t="str">
        <f>CHAR(39)</f>
        <v>'</v>
      </c>
      <c r="M19" t="str">
        <f>TRIM(E19)</f>
        <v>North Building</v>
      </c>
      <c r="N19" s="300" t="str">
        <f>CHAR(39)</f>
        <v>'</v>
      </c>
      <c r="O19" t="s">
        <v>718</v>
      </c>
      <c r="P19" s="300" t="str">
        <f>CHAR(39)</f>
        <v>'</v>
      </c>
      <c r="Q19" t="str">
        <f>TRIM(SUBSTITUTE(IF(C19=0,"",C19),"'","''"))</f>
        <v>Brendon Walkling</v>
      </c>
      <c r="R19" s="300" t="str">
        <f>CHAR(39)</f>
        <v>'</v>
      </c>
      <c r="S19" t="s">
        <v>719</v>
      </c>
      <c r="T19" s="300" t="str">
        <f>CHAR(39)</f>
        <v>'</v>
      </c>
      <c r="U19" t="str">
        <f>TRIM(SUBSTITUTE(A19,"'","''"))</f>
        <v>NOSE CONES</v>
      </c>
      <c r="V19" s="300" t="str">
        <f>CHAR(39)</f>
        <v>'</v>
      </c>
      <c r="W19" t="s">
        <v>720</v>
      </c>
      <c r="X19">
        <f>IF(ISNUMBER(B19),B19,CHAR(39)&amp;TRIM(B19)&amp;CHAR(39))</f>
        <v>1019</v>
      </c>
      <c r="Z19" t="str">
        <f>_xlfn.CONCAT(G19:X19)</f>
        <v>update [dbo].[Inventory] Set [Auditor]  = 'Norma Reynolds',[Building]  = 'North Building',[Writer] = 'Brendon Walkling',[AreaDesc] = 'NOSE CONES' where [Area]=1019</v>
      </c>
      <c r="AB19" t="s">
        <v>740</v>
      </c>
    </row>
    <row r="20" spans="1:28">
      <c r="A20" t="s">
        <v>91</v>
      </c>
      <c r="B20">
        <v>1020</v>
      </c>
      <c r="C20" t="s">
        <v>92</v>
      </c>
      <c r="D20" t="s">
        <v>25</v>
      </c>
      <c r="E20" t="s">
        <v>715</v>
      </c>
      <c r="G20" t="s">
        <v>716</v>
      </c>
      <c r="H20" s="300" t="str">
        <f>CHAR(39)</f>
        <v>'</v>
      </c>
      <c r="I20" t="str">
        <f>TRIM(SUBSTITUTE(D20,"'","''"))</f>
        <v>Trever Schneider</v>
      </c>
      <c r="J20" s="300" t="str">
        <f>CHAR(39)</f>
        <v>'</v>
      </c>
      <c r="K20" t="s">
        <v>717</v>
      </c>
      <c r="L20" s="300" t="str">
        <f>CHAR(39)</f>
        <v>'</v>
      </c>
      <c r="M20" t="str">
        <f>TRIM(E20)</f>
        <v>North Building</v>
      </c>
      <c r="N20" s="300" t="str">
        <f>CHAR(39)</f>
        <v>'</v>
      </c>
      <c r="O20" t="s">
        <v>718</v>
      </c>
      <c r="P20" s="300" t="str">
        <f>CHAR(39)</f>
        <v>'</v>
      </c>
      <c r="Q20" t="str">
        <f>TRIM(SUBSTITUTE(IF(C20=0,"",C20),"'","''"))</f>
        <v>Nickolas Olson</v>
      </c>
      <c r="R20" s="300" t="str">
        <f>CHAR(39)</f>
        <v>'</v>
      </c>
      <c r="S20" t="s">
        <v>719</v>
      </c>
      <c r="T20" s="300" t="str">
        <f>CHAR(39)</f>
        <v>'</v>
      </c>
      <c r="U20" t="str">
        <f>TRIM(SUBSTITUTE(A20,"'","''"))</f>
        <v>BAFFLES &amp; SEAMERS</v>
      </c>
      <c r="V20" s="300" t="str">
        <f>CHAR(39)</f>
        <v>'</v>
      </c>
      <c r="W20" t="s">
        <v>720</v>
      </c>
      <c r="X20">
        <f>IF(ISNUMBER(B20),B20,CHAR(39)&amp;TRIM(B20)&amp;CHAR(39))</f>
        <v>1020</v>
      </c>
      <c r="Z20" t="str">
        <f>_xlfn.CONCAT(G20:X20)</f>
        <v>update [dbo].[Inventory] Set [Auditor]  = 'Trever Schneider',[Building]  = 'North Building',[Writer] = 'Nickolas Olson',[AreaDesc] = 'BAFFLES &amp; SEAMERS' where [Area]=1020</v>
      </c>
      <c r="AB20" t="s">
        <v>741</v>
      </c>
    </row>
    <row r="21" spans="1:28">
      <c r="A21" t="s">
        <v>95</v>
      </c>
      <c r="B21">
        <v>1021</v>
      </c>
      <c r="C21" t="s">
        <v>96</v>
      </c>
      <c r="D21" t="s">
        <v>98</v>
      </c>
      <c r="E21" t="s">
        <v>715</v>
      </c>
      <c r="G21" t="s">
        <v>716</v>
      </c>
      <c r="H21" s="300" t="str">
        <f>CHAR(39)</f>
        <v>'</v>
      </c>
      <c r="I21" t="str">
        <f>TRIM(SUBSTITUTE(D21,"'","''"))</f>
        <v>Andrew Brown</v>
      </c>
      <c r="J21" s="300" t="str">
        <f>CHAR(39)</f>
        <v>'</v>
      </c>
      <c r="K21" t="s">
        <v>717</v>
      </c>
      <c r="L21" s="300" t="str">
        <f>CHAR(39)</f>
        <v>'</v>
      </c>
      <c r="M21" t="str">
        <f>TRIM(E21)</f>
        <v>North Building</v>
      </c>
      <c r="N21" s="300" t="str">
        <f>CHAR(39)</f>
        <v>'</v>
      </c>
      <c r="O21" t="s">
        <v>718</v>
      </c>
      <c r="P21" s="300" t="str">
        <f>CHAR(39)</f>
        <v>'</v>
      </c>
      <c r="Q21" t="str">
        <f>TRIM(SUBSTITUTE(IF(C21=0,"",C21),"'","''"))</f>
        <v>Enrique Hernandez</v>
      </c>
      <c r="R21" s="300" t="str">
        <f>CHAR(39)</f>
        <v>'</v>
      </c>
      <c r="S21" t="s">
        <v>719</v>
      </c>
      <c r="T21" s="300" t="str">
        <f>CHAR(39)</f>
        <v>'</v>
      </c>
      <c r="U21" t="str">
        <f>TRIM(SUBSTITUTE(A21,"'","''"))</f>
        <v>FAB (WEST) RACKS &amp; WAVE TAME</v>
      </c>
      <c r="V21" s="300" t="str">
        <f>CHAR(39)</f>
        <v>'</v>
      </c>
      <c r="W21" t="s">
        <v>720</v>
      </c>
      <c r="X21">
        <f>IF(ISNUMBER(B21),B21,CHAR(39)&amp;TRIM(B21)&amp;CHAR(39))</f>
        <v>1021</v>
      </c>
      <c r="Z21" t="str">
        <f>_xlfn.CONCAT(G21:X21)</f>
        <v>update [dbo].[Inventory] Set [Auditor]  = 'Andrew Brown',[Building]  = 'North Building',[Writer] = 'Enrique Hernandez',[AreaDesc] = 'FAB (WEST) RACKS &amp; WAVE TAME' where [Area]=1021</v>
      </c>
      <c r="AB21" t="s">
        <v>742</v>
      </c>
    </row>
    <row r="22" spans="1:28">
      <c r="A22" t="s">
        <v>100</v>
      </c>
      <c r="B22">
        <v>1022</v>
      </c>
      <c r="C22" t="s">
        <v>101</v>
      </c>
      <c r="D22" t="s">
        <v>98</v>
      </c>
      <c r="E22" t="s">
        <v>715</v>
      </c>
      <c r="G22" t="s">
        <v>716</v>
      </c>
      <c r="H22" s="300" t="str">
        <f>CHAR(39)</f>
        <v>'</v>
      </c>
      <c r="I22" t="str">
        <f>TRIM(SUBSTITUTE(D22,"'","''"))</f>
        <v>Andrew Brown</v>
      </c>
      <c r="J22" s="300" t="str">
        <f>CHAR(39)</f>
        <v>'</v>
      </c>
      <c r="K22" t="s">
        <v>717</v>
      </c>
      <c r="L22" s="300" t="str">
        <f>CHAR(39)</f>
        <v>'</v>
      </c>
      <c r="M22" t="str">
        <f>TRIM(E22)</f>
        <v>North Building</v>
      </c>
      <c r="N22" s="300" t="str">
        <f>CHAR(39)</f>
        <v>'</v>
      </c>
      <c r="O22" t="s">
        <v>718</v>
      </c>
      <c r="P22" s="300" t="str">
        <f>CHAR(39)</f>
        <v>'</v>
      </c>
      <c r="Q22" t="str">
        <f>TRIM(SUBSTITUTE(IF(C22=0,"",C22),"'","''"))</f>
        <v>Michael Smith</v>
      </c>
      <c r="R22" s="300" t="str">
        <f>CHAR(39)</f>
        <v>'</v>
      </c>
      <c r="S22" t="s">
        <v>719</v>
      </c>
      <c r="T22" s="300" t="str">
        <f>CHAR(39)</f>
        <v>'</v>
      </c>
      <c r="U22" t="str">
        <f>TRIM(SUBSTITUTE(A22,"'","''"))</f>
        <v>FAB (WEST) FLAT STOCK</v>
      </c>
      <c r="V22" s="300" t="str">
        <f>CHAR(39)</f>
        <v>'</v>
      </c>
      <c r="W22" t="s">
        <v>720</v>
      </c>
      <c r="X22">
        <f>IF(ISNUMBER(B22),B22,CHAR(39)&amp;TRIM(B22)&amp;CHAR(39))</f>
        <v>1022</v>
      </c>
      <c r="Z22" t="str">
        <f>_xlfn.CONCAT(G22:X22)</f>
        <v>update [dbo].[Inventory] Set [Auditor]  = 'Andrew Brown',[Building]  = 'North Building',[Writer] = 'Michael Smith',[AreaDesc] = 'FAB (WEST) FLAT STOCK' where [Area]=1022</v>
      </c>
      <c r="AB22" t="s">
        <v>743</v>
      </c>
    </row>
    <row r="23" spans="1:28">
      <c r="A23" t="s">
        <v>104</v>
      </c>
      <c r="B23">
        <v>1023</v>
      </c>
      <c r="C23" t="s">
        <v>105</v>
      </c>
      <c r="D23" t="s">
        <v>37</v>
      </c>
      <c r="E23" t="s">
        <v>715</v>
      </c>
      <c r="G23" t="s">
        <v>716</v>
      </c>
      <c r="H23" s="300" t="str">
        <f>CHAR(39)</f>
        <v>'</v>
      </c>
      <c r="I23" t="str">
        <f>TRIM(SUBSTITUTE(D23,"'","''"))</f>
        <v>Jessica Staley</v>
      </c>
      <c r="J23" s="300" t="str">
        <f>CHAR(39)</f>
        <v>'</v>
      </c>
      <c r="K23" t="s">
        <v>717</v>
      </c>
      <c r="L23" s="300" t="str">
        <f>CHAR(39)</f>
        <v>'</v>
      </c>
      <c r="M23" t="str">
        <f>TRIM(E23)</f>
        <v>North Building</v>
      </c>
      <c r="N23" s="300" t="str">
        <f>CHAR(39)</f>
        <v>'</v>
      </c>
      <c r="O23" t="s">
        <v>718</v>
      </c>
      <c r="P23" s="300" t="str">
        <f>CHAR(39)</f>
        <v>'</v>
      </c>
      <c r="Q23" t="str">
        <f>TRIM(SUBSTITUTE(IF(C23=0,"",C23),"'","''"))</f>
        <v>Sergio Arellano</v>
      </c>
      <c r="R23" s="300" t="str">
        <f>CHAR(39)</f>
        <v>'</v>
      </c>
      <c r="S23" t="s">
        <v>719</v>
      </c>
      <c r="T23" s="300" t="str">
        <f>CHAR(39)</f>
        <v>'</v>
      </c>
      <c r="U23" t="str">
        <f>TRIM(SUBSTITUTE(A23,"'","''"))</f>
        <v>FAB/BRKT RACKING</v>
      </c>
      <c r="V23" s="300" t="str">
        <f>CHAR(39)</f>
        <v>'</v>
      </c>
      <c r="W23" t="s">
        <v>720</v>
      </c>
      <c r="X23">
        <f>IF(ISNUMBER(B23),B23,CHAR(39)&amp;TRIM(B23)&amp;CHAR(39))</f>
        <v>1023</v>
      </c>
      <c r="Z23" t="str">
        <f>_xlfn.CONCAT(G23:X23)</f>
        <v>update [dbo].[Inventory] Set [Auditor]  = 'Jessica Staley',[Building]  = 'North Building',[Writer] = 'Sergio Arellano',[AreaDesc] = 'FAB/BRKT RACKING' where [Area]=1023</v>
      </c>
      <c r="AB23" t="s">
        <v>744</v>
      </c>
    </row>
    <row r="24" spans="1:28">
      <c r="A24" t="s">
        <v>107</v>
      </c>
      <c r="B24">
        <v>1024</v>
      </c>
      <c r="C24" t="s">
        <v>108</v>
      </c>
      <c r="D24" t="s">
        <v>55</v>
      </c>
      <c r="E24" t="s">
        <v>715</v>
      </c>
      <c r="G24" t="s">
        <v>716</v>
      </c>
      <c r="H24" s="300" t="str">
        <f>CHAR(39)</f>
        <v>'</v>
      </c>
      <c r="I24" t="str">
        <f>TRIM(SUBSTITUTE(D24,"'","''"))</f>
        <v>GeriLynn Olson</v>
      </c>
      <c r="J24" s="300" t="str">
        <f>CHAR(39)</f>
        <v>'</v>
      </c>
      <c r="K24" t="s">
        <v>717</v>
      </c>
      <c r="L24" s="300" t="str">
        <f>CHAR(39)</f>
        <v>'</v>
      </c>
      <c r="M24" t="str">
        <f>TRIM(E24)</f>
        <v>North Building</v>
      </c>
      <c r="N24" s="300" t="str">
        <f>CHAR(39)</f>
        <v>'</v>
      </c>
      <c r="O24" t="s">
        <v>718</v>
      </c>
      <c r="P24" s="300" t="str">
        <f>CHAR(39)</f>
        <v>'</v>
      </c>
      <c r="Q24" t="str">
        <f>TRIM(SUBSTITUTE(IF(C24=0,"",C24),"'","''"))</f>
        <v>Steven Smith</v>
      </c>
      <c r="R24" s="300" t="str">
        <f>CHAR(39)</f>
        <v>'</v>
      </c>
      <c r="S24" t="s">
        <v>719</v>
      </c>
      <c r="T24" s="300" t="str">
        <f>CHAR(39)</f>
        <v>'</v>
      </c>
      <c r="U24" t="str">
        <f>TRIM(SUBSTITUTE(A24,"'","''"))</f>
        <v>CROSS MEMBER ASSY/TRANSOMS</v>
      </c>
      <c r="V24" s="300" t="str">
        <f>CHAR(39)</f>
        <v>'</v>
      </c>
      <c r="W24" t="s">
        <v>720</v>
      </c>
      <c r="X24">
        <f>IF(ISNUMBER(B24),B24,CHAR(39)&amp;TRIM(B24)&amp;CHAR(39))</f>
        <v>1024</v>
      </c>
      <c r="Z24" t="str">
        <f>_xlfn.CONCAT(G24:X24)</f>
        <v>update [dbo].[Inventory] Set [Auditor]  = 'GeriLynn Olson',[Building]  = 'North Building',[Writer] = 'Steven Smith',[AreaDesc] = 'CROSS MEMBER ASSY/TRANSOMS' where [Area]=1024</v>
      </c>
      <c r="AB24" t="s">
        <v>745</v>
      </c>
    </row>
    <row r="25" spans="1:28">
      <c r="A25" t="s">
        <v>110</v>
      </c>
      <c r="B25">
        <v>1025</v>
      </c>
      <c r="C25" t="s">
        <v>111</v>
      </c>
      <c r="D25" t="s">
        <v>113</v>
      </c>
      <c r="E25" t="s">
        <v>715</v>
      </c>
      <c r="G25" t="s">
        <v>716</v>
      </c>
      <c r="H25" s="300" t="str">
        <f>CHAR(39)</f>
        <v>'</v>
      </c>
      <c r="I25" t="str">
        <f>TRIM(SUBSTITUTE(D25,"'","''"))</f>
        <v>Eric Egert</v>
      </c>
      <c r="J25" s="300" t="str">
        <f>CHAR(39)</f>
        <v>'</v>
      </c>
      <c r="K25" t="s">
        <v>717</v>
      </c>
      <c r="L25" s="300" t="str">
        <f>CHAR(39)</f>
        <v>'</v>
      </c>
      <c r="M25" t="str">
        <f>TRIM(E25)</f>
        <v>North Building</v>
      </c>
      <c r="N25" s="300" t="str">
        <f>CHAR(39)</f>
        <v>'</v>
      </c>
      <c r="O25" t="s">
        <v>718</v>
      </c>
      <c r="P25" s="300" t="str">
        <f>CHAR(39)</f>
        <v>'</v>
      </c>
      <c r="Q25" t="str">
        <f>TRIM(SUBSTITUTE(IF(C25=0,"",C25),"'","''"))</f>
        <v>Frank Stinnett</v>
      </c>
      <c r="R25" s="300" t="str">
        <f>CHAR(39)</f>
        <v>'</v>
      </c>
      <c r="S25" t="s">
        <v>719</v>
      </c>
      <c r="T25" s="300" t="str">
        <f>CHAR(39)</f>
        <v>'</v>
      </c>
      <c r="U25" t="str">
        <f>TRIM(SUBSTITUTE(A25,"'","''"))</f>
        <v>AFT DECKS</v>
      </c>
      <c r="V25" s="300" t="str">
        <f>CHAR(39)</f>
        <v>'</v>
      </c>
      <c r="W25" t="s">
        <v>720</v>
      </c>
      <c r="X25">
        <f>IF(ISNUMBER(B25),B25,CHAR(39)&amp;TRIM(B25)&amp;CHAR(39))</f>
        <v>1025</v>
      </c>
      <c r="Z25" t="str">
        <f>_xlfn.CONCAT(G25:X25)</f>
        <v>update [dbo].[Inventory] Set [Auditor]  = 'Eric Egert',[Building]  = 'North Building',[Writer] = 'Frank Stinnett',[AreaDesc] = 'AFT DECKS' where [Area]=1025</v>
      </c>
      <c r="AB25" t="s">
        <v>746</v>
      </c>
    </row>
    <row r="26" spans="1:28">
      <c r="A26" t="s">
        <v>114</v>
      </c>
      <c r="B26">
        <v>1026</v>
      </c>
      <c r="C26" t="s">
        <v>115</v>
      </c>
      <c r="D26" t="s">
        <v>37</v>
      </c>
      <c r="E26" t="s">
        <v>715</v>
      </c>
      <c r="G26" t="s">
        <v>716</v>
      </c>
      <c r="H26" s="300" t="str">
        <f>CHAR(39)</f>
        <v>'</v>
      </c>
      <c r="I26" t="str">
        <f>TRIM(SUBSTITUTE(D26,"'","''"))</f>
        <v>Jessica Staley</v>
      </c>
      <c r="J26" s="300" t="str">
        <f>CHAR(39)</f>
        <v>'</v>
      </c>
      <c r="K26" t="s">
        <v>717</v>
      </c>
      <c r="L26" s="300" t="str">
        <f>CHAR(39)</f>
        <v>'</v>
      </c>
      <c r="M26" t="str">
        <f>TRIM(E26)</f>
        <v>North Building</v>
      </c>
      <c r="N26" s="300" t="str">
        <f>CHAR(39)</f>
        <v>'</v>
      </c>
      <c r="O26" t="s">
        <v>718</v>
      </c>
      <c r="P26" s="300" t="str">
        <f>CHAR(39)</f>
        <v>'</v>
      </c>
      <c r="Q26" t="str">
        <f>TRIM(SUBSTITUTE(IF(C26=0,"",C26),"'","''"))</f>
        <v>Jose Garcia</v>
      </c>
      <c r="R26" s="300" t="str">
        <f>CHAR(39)</f>
        <v>'</v>
      </c>
      <c r="S26" t="s">
        <v>719</v>
      </c>
      <c r="T26" s="300" t="str">
        <f>CHAR(39)</f>
        <v>'</v>
      </c>
      <c r="U26" t="str">
        <f>TRIM(SUBSTITUTE(A26,"'","''"))</f>
        <v>OUTSIDE - EAST CROSS MEMBERS</v>
      </c>
      <c r="V26" s="300" t="str">
        <f>CHAR(39)</f>
        <v>'</v>
      </c>
      <c r="W26" t="s">
        <v>720</v>
      </c>
      <c r="X26">
        <f>IF(ISNUMBER(B26),B26,CHAR(39)&amp;TRIM(B26)&amp;CHAR(39))</f>
        <v>1026</v>
      </c>
      <c r="Z26" t="str">
        <f>_xlfn.CONCAT(G26:X26)</f>
        <v>update [dbo].[Inventory] Set [Auditor]  = 'Jessica Staley',[Building]  = 'North Building',[Writer] = 'Jose Garcia',[AreaDesc] = 'OUTSIDE - EAST CROSS MEMBERS' where [Area]=1026</v>
      </c>
      <c r="AB26" t="s">
        <v>747</v>
      </c>
    </row>
    <row r="27" spans="1:28">
      <c r="A27" t="s">
        <v>117</v>
      </c>
      <c r="B27">
        <v>1027</v>
      </c>
      <c r="C27" t="s">
        <v>118</v>
      </c>
      <c r="D27" t="s">
        <v>60</v>
      </c>
      <c r="E27" t="s">
        <v>715</v>
      </c>
      <c r="G27" t="s">
        <v>716</v>
      </c>
      <c r="H27" s="300" t="str">
        <f>CHAR(39)</f>
        <v>'</v>
      </c>
      <c r="I27" t="str">
        <f>TRIM(SUBSTITUTE(D27,"'","''"))</f>
        <v>Jordan Kenney</v>
      </c>
      <c r="J27" s="300" t="str">
        <f>CHAR(39)</f>
        <v>'</v>
      </c>
      <c r="K27" t="s">
        <v>717</v>
      </c>
      <c r="L27" s="300" t="str">
        <f>CHAR(39)</f>
        <v>'</v>
      </c>
      <c r="M27" t="str">
        <f>TRIM(E27)</f>
        <v>North Building</v>
      </c>
      <c r="N27" s="300" t="str">
        <f>CHAR(39)</f>
        <v>'</v>
      </c>
      <c r="O27" t="s">
        <v>718</v>
      </c>
      <c r="P27" s="300" t="str">
        <f>CHAR(39)</f>
        <v>'</v>
      </c>
      <c r="Q27" t="str">
        <f>TRIM(SUBSTITUTE(IF(C27=0,"",C27),"'","''"))</f>
        <v>Roberto Gonzalez</v>
      </c>
      <c r="R27" s="300" t="str">
        <f>CHAR(39)</f>
        <v>'</v>
      </c>
      <c r="S27" t="s">
        <v>719</v>
      </c>
      <c r="T27" s="300" t="str">
        <f>CHAR(39)</f>
        <v>'</v>
      </c>
      <c r="U27" t="str">
        <f>TRIM(SUBSTITUTE(A27,"'","''"))</f>
        <v>TANKS &amp; OUTSIDE EAST GAS TANKS</v>
      </c>
      <c r="V27" s="300" t="str">
        <f>CHAR(39)</f>
        <v>'</v>
      </c>
      <c r="W27" t="s">
        <v>720</v>
      </c>
      <c r="X27">
        <f>IF(ISNUMBER(B27),B27,CHAR(39)&amp;TRIM(B27)&amp;CHAR(39))</f>
        <v>1027</v>
      </c>
      <c r="Z27" t="str">
        <f>_xlfn.CONCAT(G27:X27)</f>
        <v>update [dbo].[Inventory] Set [Auditor]  = 'Jordan Kenney',[Building]  = 'North Building',[Writer] = 'Roberto Gonzalez',[AreaDesc] = 'TANKS &amp; OUTSIDE EAST GAS TANKS' where [Area]=1027</v>
      </c>
      <c r="AB27" t="s">
        <v>748</v>
      </c>
    </row>
    <row r="28" spans="1:28">
      <c r="A28" t="s">
        <v>121</v>
      </c>
      <c r="B28">
        <v>1028</v>
      </c>
      <c r="C28" t="s">
        <v>122</v>
      </c>
      <c r="D28" t="s">
        <v>89</v>
      </c>
      <c r="E28" t="s">
        <v>715</v>
      </c>
      <c r="G28" t="s">
        <v>716</v>
      </c>
      <c r="H28" s="300" t="str">
        <f>CHAR(39)</f>
        <v>'</v>
      </c>
      <c r="I28" t="str">
        <f>TRIM(SUBSTITUTE(D28,"'","''"))</f>
        <v>Norma Reynolds</v>
      </c>
      <c r="J28" s="300" t="str">
        <f>CHAR(39)</f>
        <v>'</v>
      </c>
      <c r="K28" t="s">
        <v>717</v>
      </c>
      <c r="L28" s="300" t="str">
        <f>CHAR(39)</f>
        <v>'</v>
      </c>
      <c r="M28" t="str">
        <f>TRIM(E28)</f>
        <v>North Building</v>
      </c>
      <c r="N28" s="300" t="str">
        <f>CHAR(39)</f>
        <v>'</v>
      </c>
      <c r="O28" t="s">
        <v>718</v>
      </c>
      <c r="P28" s="300" t="str">
        <f>CHAR(39)</f>
        <v>'</v>
      </c>
      <c r="Q28" t="str">
        <f>TRIM(SUBSTITUTE(IF(C28=0,"",C28),"'","''"))</f>
        <v>Ron Kauffman</v>
      </c>
      <c r="R28" s="300" t="str">
        <f>CHAR(39)</f>
        <v>'</v>
      </c>
      <c r="S28" t="s">
        <v>719</v>
      </c>
      <c r="T28" s="300" t="str">
        <f>CHAR(39)</f>
        <v>'</v>
      </c>
      <c r="U28" t="str">
        <f>TRIM(SUBSTITUTE(A28,"'","''"))</f>
        <v>FRAMING - OUTSIDE</v>
      </c>
      <c r="V28" s="300" t="str">
        <f>CHAR(39)</f>
        <v>'</v>
      </c>
      <c r="W28" t="s">
        <v>720</v>
      </c>
      <c r="X28">
        <f>IF(ISNUMBER(B28),B28,CHAR(39)&amp;TRIM(B28)&amp;CHAR(39))</f>
        <v>1028</v>
      </c>
      <c r="Z28" t="str">
        <f>_xlfn.CONCAT(G28:X28)</f>
        <v>update [dbo].[Inventory] Set [Auditor]  = 'Norma Reynolds',[Building]  = 'North Building',[Writer] = 'Ron Kauffman',[AreaDesc] = 'FRAMING - OUTSIDE' where [Area]=1028</v>
      </c>
      <c r="AB28" t="s">
        <v>749</v>
      </c>
    </row>
    <row r="29" spans="1:28">
      <c r="A29" t="s">
        <v>124</v>
      </c>
      <c r="B29">
        <v>1029</v>
      </c>
      <c r="C29" t="s">
        <v>125</v>
      </c>
      <c r="D29" t="s">
        <v>113</v>
      </c>
      <c r="E29" t="s">
        <v>715</v>
      </c>
      <c r="G29" t="s">
        <v>716</v>
      </c>
      <c r="H29" s="300" t="str">
        <f>CHAR(39)</f>
        <v>'</v>
      </c>
      <c r="I29" t="str">
        <f>TRIM(SUBSTITUTE(D29,"'","''"))</f>
        <v>Eric Egert</v>
      </c>
      <c r="J29" s="300" t="str">
        <f>CHAR(39)</f>
        <v>'</v>
      </c>
      <c r="K29" t="s">
        <v>717</v>
      </c>
      <c r="L29" s="300" t="str">
        <f>CHAR(39)</f>
        <v>'</v>
      </c>
      <c r="M29" t="str">
        <f>TRIM(E29)</f>
        <v>North Building</v>
      </c>
      <c r="N29" s="300" t="str">
        <f>CHAR(39)</f>
        <v>'</v>
      </c>
      <c r="O29" t="s">
        <v>718</v>
      </c>
      <c r="P29" s="300" t="str">
        <f>CHAR(39)</f>
        <v>'</v>
      </c>
      <c r="Q29" t="str">
        <f>TRIM(SUBSTITUTE(IF(C29=0,"",C29),"'","''"))</f>
        <v>Anna Martorano</v>
      </c>
      <c r="R29" s="300" t="str">
        <f>CHAR(39)</f>
        <v>'</v>
      </c>
      <c r="S29" t="s">
        <v>719</v>
      </c>
      <c r="T29" s="300" t="str">
        <f>CHAR(39)</f>
        <v>'</v>
      </c>
      <c r="U29" t="str">
        <f>TRIM(SUBSTITUTE(A29,"'","''"))</f>
        <v>INSIDE WELD TEST I/O AREA</v>
      </c>
      <c r="V29" s="300" t="str">
        <f>CHAR(39)</f>
        <v>'</v>
      </c>
      <c r="W29" t="s">
        <v>720</v>
      </c>
      <c r="X29">
        <f>IF(ISNUMBER(B29),B29,CHAR(39)&amp;TRIM(B29)&amp;CHAR(39))</f>
        <v>1029</v>
      </c>
      <c r="Z29" t="str">
        <f>_xlfn.CONCAT(G29:X29)</f>
        <v>update [dbo].[Inventory] Set [Auditor]  = 'Eric Egert',[Building]  = 'North Building',[Writer] = 'Anna Martorano',[AreaDesc] = 'INSIDE WELD TEST I/O AREA' where [Area]=1029</v>
      </c>
      <c r="AB29" t="s">
        <v>750</v>
      </c>
    </row>
    <row r="30" spans="1:28">
      <c r="A30" t="s">
        <v>127</v>
      </c>
      <c r="B30">
        <v>1030</v>
      </c>
      <c r="C30" t="s">
        <v>128</v>
      </c>
      <c r="D30" t="s">
        <v>21</v>
      </c>
      <c r="E30" t="s">
        <v>715</v>
      </c>
      <c r="G30" t="s">
        <v>716</v>
      </c>
      <c r="H30" s="300" t="str">
        <f>CHAR(39)</f>
        <v>'</v>
      </c>
      <c r="I30" t="str">
        <f>TRIM(SUBSTITUTE(D30,"'","''"))</f>
        <v>Joseph Clair</v>
      </c>
      <c r="J30" s="300" t="str">
        <f>CHAR(39)</f>
        <v>'</v>
      </c>
      <c r="K30" t="s">
        <v>717</v>
      </c>
      <c r="L30" s="300" t="str">
        <f>CHAR(39)</f>
        <v>'</v>
      </c>
      <c r="M30" t="str">
        <f>TRIM(E30)</f>
        <v>North Building</v>
      </c>
      <c r="N30" s="300" t="str">
        <f>CHAR(39)</f>
        <v>'</v>
      </c>
      <c r="O30" t="s">
        <v>718</v>
      </c>
      <c r="P30" s="300" t="str">
        <f>CHAR(39)</f>
        <v>'</v>
      </c>
      <c r="Q30" t="str">
        <f>TRIM(SUBSTITUTE(IF(C30=0,"",C30),"'","''"))</f>
        <v>Chris Wrobel</v>
      </c>
      <c r="R30" s="300" t="str">
        <f>CHAR(39)</f>
        <v>'</v>
      </c>
      <c r="S30" t="s">
        <v>719</v>
      </c>
      <c r="T30" s="300" t="str">
        <f>CHAR(39)</f>
        <v>'</v>
      </c>
      <c r="U30" t="str">
        <f>TRIM(SUBSTITUTE(A30,"'","''"))</f>
        <v>TRANSOM INVENTORY</v>
      </c>
      <c r="V30" s="300" t="str">
        <f>CHAR(39)</f>
        <v>'</v>
      </c>
      <c r="W30" t="s">
        <v>720</v>
      </c>
      <c r="X30">
        <f>IF(ISNUMBER(B30),B30,CHAR(39)&amp;TRIM(B30)&amp;CHAR(39))</f>
        <v>1030</v>
      </c>
      <c r="Z30" t="str">
        <f>_xlfn.CONCAT(G30:X30)</f>
        <v>update [dbo].[Inventory] Set [Auditor]  = 'Joseph Clair',[Building]  = 'North Building',[Writer] = 'Chris Wrobel',[AreaDesc] = 'TRANSOM INVENTORY' where [Area]=1030</v>
      </c>
      <c r="AB30" t="s">
        <v>751</v>
      </c>
    </row>
    <row r="31" spans="1:28">
      <c r="A31" t="s">
        <v>130</v>
      </c>
      <c r="B31">
        <v>1031</v>
      </c>
      <c r="C31" t="s">
        <v>131</v>
      </c>
      <c r="D31" t="s">
        <v>113</v>
      </c>
      <c r="E31" t="s">
        <v>715</v>
      </c>
      <c r="G31" t="s">
        <v>716</v>
      </c>
      <c r="H31" s="300" t="str">
        <f>CHAR(39)</f>
        <v>'</v>
      </c>
      <c r="I31" t="str">
        <f>TRIM(SUBSTITUTE(D31,"'","''"))</f>
        <v>Eric Egert</v>
      </c>
      <c r="J31" s="300" t="str">
        <f>CHAR(39)</f>
        <v>'</v>
      </c>
      <c r="K31" t="s">
        <v>717</v>
      </c>
      <c r="L31" s="300" t="str">
        <f>CHAR(39)</f>
        <v>'</v>
      </c>
      <c r="M31" t="str">
        <f>TRIM(E31)</f>
        <v>North Building</v>
      </c>
      <c r="N31" s="300" t="str">
        <f>CHAR(39)</f>
        <v>'</v>
      </c>
      <c r="O31" t="s">
        <v>718</v>
      </c>
      <c r="P31" s="300" t="str">
        <f>CHAR(39)</f>
        <v>'</v>
      </c>
      <c r="Q31" t="str">
        <f>TRIM(SUBSTITUTE(IF(C31=0,"",C31),"'","''"))</f>
        <v>Chance Lindsay</v>
      </c>
      <c r="R31" s="300" t="str">
        <f>CHAR(39)</f>
        <v>'</v>
      </c>
      <c r="S31" t="s">
        <v>719</v>
      </c>
      <c r="T31" s="300" t="str">
        <f>CHAR(39)</f>
        <v>'</v>
      </c>
      <c r="U31" t="str">
        <f>TRIM(SUBSTITUTE(A31,"'","''"))</f>
        <v>WEST HALF OF OUTSIDE AREA #1015 (SPLIT IN HALF)</v>
      </c>
      <c r="V31" s="300" t="str">
        <f>CHAR(39)</f>
        <v>'</v>
      </c>
      <c r="W31" t="s">
        <v>720</v>
      </c>
      <c r="X31">
        <f>IF(ISNUMBER(B31),B31,CHAR(39)&amp;TRIM(B31)&amp;CHAR(39))</f>
        <v>1031</v>
      </c>
      <c r="Z31" t="str">
        <f>_xlfn.CONCAT(G31:X31)</f>
        <v>update [dbo].[Inventory] Set [Auditor]  = 'Eric Egert',[Building]  = 'North Building',[Writer] = 'Chance Lindsay',[AreaDesc] = 'WEST HALF OF OUTSIDE AREA #1015 (SPLIT IN HALF)' where [Area]=1031</v>
      </c>
      <c r="AB31" t="s">
        <v>752</v>
      </c>
    </row>
    <row r="32" spans="1:28">
      <c r="A32" t="s">
        <v>141</v>
      </c>
      <c r="B32">
        <v>2001</v>
      </c>
      <c r="C32" t="s">
        <v>142</v>
      </c>
      <c r="D32" t="s">
        <v>144</v>
      </c>
      <c r="E32" t="s">
        <v>753</v>
      </c>
      <c r="G32" t="s">
        <v>716</v>
      </c>
      <c r="H32" s="300" t="str">
        <f>CHAR(39)</f>
        <v>'</v>
      </c>
      <c r="I32" t="str">
        <f>TRIM(SUBSTITUTE(D32,"'","''"))</f>
        <v>Alvaro Scherer</v>
      </c>
      <c r="J32" s="300" t="str">
        <f>CHAR(39)</f>
        <v>'</v>
      </c>
      <c r="K32" t="s">
        <v>717</v>
      </c>
      <c r="L32" s="300" t="str">
        <f>CHAR(39)</f>
        <v>'</v>
      </c>
      <c r="M32" t="str">
        <f>TRIM(E32)</f>
        <v>West Building</v>
      </c>
      <c r="N32" s="300" t="str">
        <f>CHAR(39)</f>
        <v>'</v>
      </c>
      <c r="O32" t="s">
        <v>718</v>
      </c>
      <c r="P32" s="300" t="str">
        <f>CHAR(39)</f>
        <v>'</v>
      </c>
      <c r="Q32" t="str">
        <f>TRIM(SUBSTITUTE(IF(C32=0,"",C32),"'","''"))</f>
        <v>Samantha Scott</v>
      </c>
      <c r="R32" s="300" t="str">
        <f>CHAR(39)</f>
        <v>'</v>
      </c>
      <c r="S32" t="s">
        <v>719</v>
      </c>
      <c r="T32" s="300" t="str">
        <f>CHAR(39)</f>
        <v>'</v>
      </c>
      <c r="U32" t="str">
        <f>TRIM(SUBSTITUTE(A32,"'","''"))</f>
        <v>RAILS</v>
      </c>
      <c r="V32" s="300" t="str">
        <f>CHAR(39)</f>
        <v>'</v>
      </c>
      <c r="W32" t="s">
        <v>720</v>
      </c>
      <c r="X32">
        <f>IF(ISNUMBER(B32),B32,CHAR(39)&amp;TRIM(B32)&amp;CHAR(39))</f>
        <v>2001</v>
      </c>
      <c r="Z32" t="str">
        <f>_xlfn.CONCAT(G32:X32)</f>
        <v>update [dbo].[Inventory] Set [Auditor]  = 'Alvaro Scherer',[Building]  = 'West Building',[Writer] = 'Samantha Scott',[AreaDesc] = 'RAILS' where [Area]=2001</v>
      </c>
      <c r="AB32" t="s">
        <v>754</v>
      </c>
    </row>
    <row r="33" spans="1:28">
      <c r="A33" t="s">
        <v>141</v>
      </c>
      <c r="B33">
        <v>2002</v>
      </c>
      <c r="C33" t="s">
        <v>145</v>
      </c>
      <c r="D33" t="s">
        <v>147</v>
      </c>
      <c r="E33" t="s">
        <v>753</v>
      </c>
      <c r="G33" t="s">
        <v>716</v>
      </c>
      <c r="H33" s="300" t="str">
        <f>CHAR(39)</f>
        <v>'</v>
      </c>
      <c r="I33" t="str">
        <f>TRIM(SUBSTITUTE(D33,"'","''"))</f>
        <v>D''Amore, Michael</v>
      </c>
      <c r="J33" s="300" t="str">
        <f>CHAR(39)</f>
        <v>'</v>
      </c>
      <c r="K33" t="s">
        <v>717</v>
      </c>
      <c r="L33" s="300" t="str">
        <f>CHAR(39)</f>
        <v>'</v>
      </c>
      <c r="M33" t="str">
        <f>TRIM(E33)</f>
        <v>West Building</v>
      </c>
      <c r="N33" s="300" t="str">
        <f>CHAR(39)</f>
        <v>'</v>
      </c>
      <c r="O33" t="s">
        <v>718</v>
      </c>
      <c r="P33" s="300" t="str">
        <f>CHAR(39)</f>
        <v>'</v>
      </c>
      <c r="Q33" t="str">
        <f>TRIM(SUBSTITUTE(IF(C33=0,"",C33),"'","''"))</f>
        <v>Lindsie Sidenbender</v>
      </c>
      <c r="R33" s="300" t="str">
        <f>CHAR(39)</f>
        <v>'</v>
      </c>
      <c r="S33" t="s">
        <v>719</v>
      </c>
      <c r="T33" s="300" t="str">
        <f>CHAR(39)</f>
        <v>'</v>
      </c>
      <c r="U33" t="str">
        <f>TRIM(SUBSTITUTE(A33,"'","''"))</f>
        <v>RAILS</v>
      </c>
      <c r="V33" s="300" t="str">
        <f>CHAR(39)</f>
        <v>'</v>
      </c>
      <c r="W33" t="s">
        <v>720</v>
      </c>
      <c r="X33">
        <f>IF(ISNUMBER(B33),B33,CHAR(39)&amp;TRIM(B33)&amp;CHAR(39))</f>
        <v>2002</v>
      </c>
      <c r="Z33" t="str">
        <f>_xlfn.CONCAT(G33:X33)</f>
        <v>update [dbo].[Inventory] Set [Auditor]  = 'D''Amore, Michael',[Building]  = 'West Building',[Writer] = 'Lindsie Sidenbender',[AreaDesc] = 'RAILS' where [Area]=2002</v>
      </c>
      <c r="AB33" t="s">
        <v>755</v>
      </c>
    </row>
    <row r="34" spans="1:28">
      <c r="A34" t="s">
        <v>141</v>
      </c>
      <c r="B34">
        <v>2003</v>
      </c>
      <c r="C34" t="s">
        <v>148</v>
      </c>
      <c r="D34" t="s">
        <v>150</v>
      </c>
      <c r="E34" t="s">
        <v>753</v>
      </c>
      <c r="G34" t="s">
        <v>716</v>
      </c>
      <c r="H34" s="300" t="str">
        <f>CHAR(39)</f>
        <v>'</v>
      </c>
      <c r="I34" t="str">
        <f>TRIM(SUBSTITUTE(D34,"'","''"))</f>
        <v>Bradley Greene</v>
      </c>
      <c r="J34" s="300" t="str">
        <f>CHAR(39)</f>
        <v>'</v>
      </c>
      <c r="K34" t="s">
        <v>717</v>
      </c>
      <c r="L34" s="300" t="str">
        <f>CHAR(39)</f>
        <v>'</v>
      </c>
      <c r="M34" t="str">
        <f>TRIM(E34)</f>
        <v>West Building</v>
      </c>
      <c r="N34" s="300" t="str">
        <f>CHAR(39)</f>
        <v>'</v>
      </c>
      <c r="O34" t="s">
        <v>718</v>
      </c>
      <c r="P34" s="300" t="str">
        <f>CHAR(39)</f>
        <v>'</v>
      </c>
      <c r="Q34" t="str">
        <f>TRIM(SUBSTITUTE(IF(C34=0,"",C34),"'","''"))</f>
        <v>Jordan Lane</v>
      </c>
      <c r="R34" s="300" t="str">
        <f>CHAR(39)</f>
        <v>'</v>
      </c>
      <c r="S34" t="s">
        <v>719</v>
      </c>
      <c r="T34" s="300" t="str">
        <f>CHAR(39)</f>
        <v>'</v>
      </c>
      <c r="U34" t="str">
        <f>TRIM(SUBSTITUTE(A34,"'","''"))</f>
        <v>RAILS</v>
      </c>
      <c r="V34" s="300" t="str">
        <f>CHAR(39)</f>
        <v>'</v>
      </c>
      <c r="W34" t="s">
        <v>720</v>
      </c>
      <c r="X34">
        <f>IF(ISNUMBER(B34),B34,CHAR(39)&amp;TRIM(B34)&amp;CHAR(39))</f>
        <v>2003</v>
      </c>
      <c r="Z34" t="str">
        <f>_xlfn.CONCAT(G34:X34)</f>
        <v>update [dbo].[Inventory] Set [Auditor]  = 'Bradley Greene',[Building]  = 'West Building',[Writer] = 'Jordan Lane',[AreaDesc] = 'RAILS' where [Area]=2003</v>
      </c>
      <c r="AB34" t="s">
        <v>756</v>
      </c>
    </row>
    <row r="35" spans="1:28">
      <c r="A35" t="s">
        <v>141</v>
      </c>
      <c r="B35">
        <v>2004</v>
      </c>
      <c r="C35" t="s">
        <v>151</v>
      </c>
      <c r="D35" t="s">
        <v>153</v>
      </c>
      <c r="E35" t="s">
        <v>753</v>
      </c>
      <c r="G35" t="s">
        <v>716</v>
      </c>
      <c r="H35" s="300" t="str">
        <f>CHAR(39)</f>
        <v>'</v>
      </c>
      <c r="I35" t="str">
        <f>TRIM(SUBSTITUTE(D35,"'","''"))</f>
        <v>Kara Burch</v>
      </c>
      <c r="J35" s="300" t="str">
        <f>CHAR(39)</f>
        <v>'</v>
      </c>
      <c r="K35" t="s">
        <v>717</v>
      </c>
      <c r="L35" s="300" t="str">
        <f>CHAR(39)</f>
        <v>'</v>
      </c>
      <c r="M35" t="str">
        <f>TRIM(E35)</f>
        <v>West Building</v>
      </c>
      <c r="N35" s="300" t="str">
        <f>CHAR(39)</f>
        <v>'</v>
      </c>
      <c r="O35" t="s">
        <v>718</v>
      </c>
      <c r="P35" s="300" t="str">
        <f>CHAR(39)</f>
        <v>'</v>
      </c>
      <c r="Q35" t="str">
        <f>TRIM(SUBSTITUTE(IF(C35=0,"",C35),"'","''"))</f>
        <v>Christine Fausnaugh</v>
      </c>
      <c r="R35" s="300" t="str">
        <f>CHAR(39)</f>
        <v>'</v>
      </c>
      <c r="S35" t="s">
        <v>719</v>
      </c>
      <c r="T35" s="300" t="str">
        <f>CHAR(39)</f>
        <v>'</v>
      </c>
      <c r="U35" t="str">
        <f>TRIM(SUBSTITUTE(A35,"'","''"))</f>
        <v>RAILS</v>
      </c>
      <c r="V35" s="300" t="str">
        <f>CHAR(39)</f>
        <v>'</v>
      </c>
      <c r="W35" t="s">
        <v>720</v>
      </c>
      <c r="X35">
        <f>IF(ISNUMBER(B35),B35,CHAR(39)&amp;TRIM(B35)&amp;CHAR(39))</f>
        <v>2004</v>
      </c>
      <c r="Z35" t="str">
        <f>_xlfn.CONCAT(G35:X35)</f>
        <v>update [dbo].[Inventory] Set [Auditor]  = 'Kara Burch',[Building]  = 'West Building',[Writer] = 'Christine Fausnaugh',[AreaDesc] = 'RAILS' where [Area]=2004</v>
      </c>
      <c r="AB35" t="s">
        <v>757</v>
      </c>
    </row>
    <row r="36" spans="1:28">
      <c r="A36" t="s">
        <v>141</v>
      </c>
      <c r="B36">
        <v>2005</v>
      </c>
      <c r="C36" t="s">
        <v>154</v>
      </c>
      <c r="D36" t="s">
        <v>147</v>
      </c>
      <c r="E36" t="s">
        <v>753</v>
      </c>
      <c r="G36" t="s">
        <v>716</v>
      </c>
      <c r="H36" s="300" t="str">
        <f>CHAR(39)</f>
        <v>'</v>
      </c>
      <c r="I36" t="str">
        <f>TRIM(SUBSTITUTE(D36,"'","''"))</f>
        <v>D''Amore, Michael</v>
      </c>
      <c r="J36" s="300" t="str">
        <f>CHAR(39)</f>
        <v>'</v>
      </c>
      <c r="K36" t="s">
        <v>717</v>
      </c>
      <c r="L36" s="300" t="str">
        <f>CHAR(39)</f>
        <v>'</v>
      </c>
      <c r="M36" t="str">
        <f>TRIM(E36)</f>
        <v>West Building</v>
      </c>
      <c r="N36" s="300" t="str">
        <f>CHAR(39)</f>
        <v>'</v>
      </c>
      <c r="O36" t="s">
        <v>718</v>
      </c>
      <c r="P36" s="300" t="str">
        <f>CHAR(39)</f>
        <v>'</v>
      </c>
      <c r="Q36" t="str">
        <f>TRIM(SUBSTITUTE(IF(C36=0,"",C36),"'","''"))</f>
        <v>Jason Schumacher</v>
      </c>
      <c r="R36" s="300" t="str">
        <f>CHAR(39)</f>
        <v>'</v>
      </c>
      <c r="S36" t="s">
        <v>719</v>
      </c>
      <c r="T36" s="300" t="str">
        <f>CHAR(39)</f>
        <v>'</v>
      </c>
      <c r="U36" t="str">
        <f>TRIM(SUBSTITUTE(A36,"'","''"))</f>
        <v>RAILS</v>
      </c>
      <c r="V36" s="300" t="str">
        <f>CHAR(39)</f>
        <v>'</v>
      </c>
      <c r="W36" t="s">
        <v>720</v>
      </c>
      <c r="X36">
        <f>IF(ISNUMBER(B36),B36,CHAR(39)&amp;TRIM(B36)&amp;CHAR(39))</f>
        <v>2005</v>
      </c>
      <c r="Z36" t="str">
        <f>_xlfn.CONCAT(G36:X36)</f>
        <v>update [dbo].[Inventory] Set [Auditor]  = 'D''Amore, Michael',[Building]  = 'West Building',[Writer] = 'Jason Schumacher',[AreaDesc] = 'RAILS' where [Area]=2005</v>
      </c>
      <c r="AB36" t="s">
        <v>758</v>
      </c>
    </row>
    <row r="37" spans="1:28">
      <c r="A37" t="s">
        <v>141</v>
      </c>
      <c r="B37">
        <v>2006</v>
      </c>
      <c r="C37" t="s">
        <v>156</v>
      </c>
      <c r="D37" t="s">
        <v>158</v>
      </c>
      <c r="E37" t="s">
        <v>753</v>
      </c>
      <c r="G37" t="s">
        <v>716</v>
      </c>
      <c r="H37" s="300" t="str">
        <f>CHAR(39)</f>
        <v>'</v>
      </c>
      <c r="I37" t="str">
        <f>TRIM(SUBSTITUTE(D37,"'","''"))</f>
        <v>Kenny Bennett</v>
      </c>
      <c r="J37" s="300" t="str">
        <f>CHAR(39)</f>
        <v>'</v>
      </c>
      <c r="K37" t="s">
        <v>717</v>
      </c>
      <c r="L37" s="300" t="str">
        <f>CHAR(39)</f>
        <v>'</v>
      </c>
      <c r="M37" t="str">
        <f>TRIM(E37)</f>
        <v>West Building</v>
      </c>
      <c r="N37" s="300" t="str">
        <f>CHAR(39)</f>
        <v>'</v>
      </c>
      <c r="O37" t="s">
        <v>718</v>
      </c>
      <c r="P37" s="300" t="str">
        <f>CHAR(39)</f>
        <v>'</v>
      </c>
      <c r="Q37" t="str">
        <f>TRIM(SUBSTITUTE(IF(C37=0,"",C37),"'","''"))</f>
        <v>Hector Jacobo</v>
      </c>
      <c r="R37" s="300" t="str">
        <f>CHAR(39)</f>
        <v>'</v>
      </c>
      <c r="S37" t="s">
        <v>719</v>
      </c>
      <c r="T37" s="300" t="str">
        <f>CHAR(39)</f>
        <v>'</v>
      </c>
      <c r="U37" t="str">
        <f>TRIM(SUBSTITUTE(A37,"'","''"))</f>
        <v>RAILS</v>
      </c>
      <c r="V37" s="300" t="str">
        <f>CHAR(39)</f>
        <v>'</v>
      </c>
      <c r="W37" t="s">
        <v>720</v>
      </c>
      <c r="X37">
        <f>IF(ISNUMBER(B37),B37,CHAR(39)&amp;TRIM(B37)&amp;CHAR(39))</f>
        <v>2006</v>
      </c>
      <c r="Z37" t="str">
        <f>_xlfn.CONCAT(G37:X37)</f>
        <v>update [dbo].[Inventory] Set [Auditor]  = 'Kenny Bennett',[Building]  = 'West Building',[Writer] = 'Hector Jacobo',[AreaDesc] = 'RAILS' where [Area]=2006</v>
      </c>
      <c r="AB37" t="s">
        <v>759</v>
      </c>
    </row>
    <row r="38" spans="1:28">
      <c r="A38" t="s">
        <v>141</v>
      </c>
      <c r="B38">
        <v>2007</v>
      </c>
      <c r="C38" t="s">
        <v>159</v>
      </c>
      <c r="D38" t="s">
        <v>158</v>
      </c>
      <c r="E38" t="s">
        <v>753</v>
      </c>
      <c r="G38" t="s">
        <v>716</v>
      </c>
      <c r="H38" s="300" t="str">
        <f>CHAR(39)</f>
        <v>'</v>
      </c>
      <c r="I38" t="str">
        <f>TRIM(SUBSTITUTE(D38,"'","''"))</f>
        <v>Kenny Bennett</v>
      </c>
      <c r="J38" s="300" t="str">
        <f>CHAR(39)</f>
        <v>'</v>
      </c>
      <c r="K38" t="s">
        <v>717</v>
      </c>
      <c r="L38" s="300" t="str">
        <f>CHAR(39)</f>
        <v>'</v>
      </c>
      <c r="M38" t="str">
        <f>TRIM(E38)</f>
        <v>West Building</v>
      </c>
      <c r="N38" s="300" t="str">
        <f>CHAR(39)</f>
        <v>'</v>
      </c>
      <c r="O38" t="s">
        <v>718</v>
      </c>
      <c r="P38" s="300" t="str">
        <f>CHAR(39)</f>
        <v>'</v>
      </c>
      <c r="Q38" t="str">
        <f>TRIM(SUBSTITUTE(IF(C38=0,"",C38),"'","''"))</f>
        <v>Damon Harris</v>
      </c>
      <c r="R38" s="300" t="str">
        <f>CHAR(39)</f>
        <v>'</v>
      </c>
      <c r="S38" t="s">
        <v>719</v>
      </c>
      <c r="T38" s="300" t="str">
        <f>CHAR(39)</f>
        <v>'</v>
      </c>
      <c r="U38" t="str">
        <f>TRIM(SUBSTITUTE(A38,"'","''"))</f>
        <v>RAILS</v>
      </c>
      <c r="V38" s="300" t="str">
        <f>CHAR(39)</f>
        <v>'</v>
      </c>
      <c r="W38" t="s">
        <v>720</v>
      </c>
      <c r="X38">
        <f>IF(ISNUMBER(B38),B38,CHAR(39)&amp;TRIM(B38)&amp;CHAR(39))</f>
        <v>2007</v>
      </c>
      <c r="Z38" t="str">
        <f>_xlfn.CONCAT(G38:X38)</f>
        <v>update [dbo].[Inventory] Set [Auditor]  = 'Kenny Bennett',[Building]  = 'West Building',[Writer] = 'Damon Harris',[AreaDesc] = 'RAILS' where [Area]=2007</v>
      </c>
      <c r="AB38" t="s">
        <v>760</v>
      </c>
    </row>
    <row r="39" spans="1:28">
      <c r="A39" t="s">
        <v>141</v>
      </c>
      <c r="B39">
        <v>2008</v>
      </c>
      <c r="C39" t="s">
        <v>161</v>
      </c>
      <c r="D39" t="s">
        <v>163</v>
      </c>
      <c r="E39" t="s">
        <v>753</v>
      </c>
      <c r="G39" t="s">
        <v>716</v>
      </c>
      <c r="H39" s="300" t="str">
        <f>CHAR(39)</f>
        <v>'</v>
      </c>
      <c r="I39" t="str">
        <f>TRIM(SUBSTITUTE(D39,"'","''"))</f>
        <v>Stuart Marshall</v>
      </c>
      <c r="J39" s="300" t="str">
        <f>CHAR(39)</f>
        <v>'</v>
      </c>
      <c r="K39" t="s">
        <v>717</v>
      </c>
      <c r="L39" s="300" t="str">
        <f>CHAR(39)</f>
        <v>'</v>
      </c>
      <c r="M39" t="str">
        <f>TRIM(E39)</f>
        <v>West Building</v>
      </c>
      <c r="N39" s="300" t="str">
        <f>CHAR(39)</f>
        <v>'</v>
      </c>
      <c r="O39" t="s">
        <v>718</v>
      </c>
      <c r="P39" s="300" t="str">
        <f>CHAR(39)</f>
        <v>'</v>
      </c>
      <c r="Q39" t="str">
        <f>TRIM(SUBSTITUTE(IF(C39=0,"",C39),"'","''"))</f>
        <v>Jade Young</v>
      </c>
      <c r="R39" s="300" t="str">
        <f>CHAR(39)</f>
        <v>'</v>
      </c>
      <c r="S39" t="s">
        <v>719</v>
      </c>
      <c r="T39" s="300" t="str">
        <f>CHAR(39)</f>
        <v>'</v>
      </c>
      <c r="U39" t="str">
        <f>TRIM(SUBSTITUTE(A39,"'","''"))</f>
        <v>RAILS</v>
      </c>
      <c r="V39" s="300" t="str">
        <f>CHAR(39)</f>
        <v>'</v>
      </c>
      <c r="W39" t="s">
        <v>720</v>
      </c>
      <c r="X39">
        <f>IF(ISNUMBER(B39),B39,CHAR(39)&amp;TRIM(B39)&amp;CHAR(39))</f>
        <v>2008</v>
      </c>
      <c r="Z39" t="str">
        <f>_xlfn.CONCAT(G39:X39)</f>
        <v>update [dbo].[Inventory] Set [Auditor]  = 'Stuart Marshall',[Building]  = 'West Building',[Writer] = 'Jade Young',[AreaDesc] = 'RAILS' where [Area]=2008</v>
      </c>
      <c r="AB39" t="s">
        <v>761</v>
      </c>
    </row>
    <row r="40" spans="1:28">
      <c r="A40" t="s">
        <v>141</v>
      </c>
      <c r="B40">
        <v>2009</v>
      </c>
      <c r="C40" t="s">
        <v>164</v>
      </c>
      <c r="D40" t="s">
        <v>163</v>
      </c>
      <c r="E40" t="s">
        <v>753</v>
      </c>
      <c r="G40" t="s">
        <v>716</v>
      </c>
      <c r="H40" s="300" t="str">
        <f>CHAR(39)</f>
        <v>'</v>
      </c>
      <c r="I40" t="str">
        <f>TRIM(SUBSTITUTE(D40,"'","''"))</f>
        <v>Stuart Marshall</v>
      </c>
      <c r="J40" s="300" t="str">
        <f>CHAR(39)</f>
        <v>'</v>
      </c>
      <c r="K40" t="s">
        <v>717</v>
      </c>
      <c r="L40" s="300" t="str">
        <f>CHAR(39)</f>
        <v>'</v>
      </c>
      <c r="M40" t="str">
        <f>TRIM(E40)</f>
        <v>West Building</v>
      </c>
      <c r="N40" s="300" t="str">
        <f>CHAR(39)</f>
        <v>'</v>
      </c>
      <c r="O40" t="s">
        <v>718</v>
      </c>
      <c r="P40" s="300" t="str">
        <f>CHAR(39)</f>
        <v>'</v>
      </c>
      <c r="Q40" t="str">
        <f>TRIM(SUBSTITUTE(IF(C40=0,"",C40),"'","''"))</f>
        <v>Ronald Summers</v>
      </c>
      <c r="R40" s="300" t="str">
        <f>CHAR(39)</f>
        <v>'</v>
      </c>
      <c r="S40" t="s">
        <v>719</v>
      </c>
      <c r="T40" s="300" t="str">
        <f>CHAR(39)</f>
        <v>'</v>
      </c>
      <c r="U40" t="str">
        <f>TRIM(SUBSTITUTE(A40,"'","''"))</f>
        <v>RAILS</v>
      </c>
      <c r="V40" s="300" t="str">
        <f>CHAR(39)</f>
        <v>'</v>
      </c>
      <c r="W40" t="s">
        <v>720</v>
      </c>
      <c r="X40">
        <f>IF(ISNUMBER(B40),B40,CHAR(39)&amp;TRIM(B40)&amp;CHAR(39))</f>
        <v>2009</v>
      </c>
      <c r="Z40" t="str">
        <f>_xlfn.CONCAT(G40:X40)</f>
        <v>update [dbo].[Inventory] Set [Auditor]  = 'Stuart Marshall',[Building]  = 'West Building',[Writer] = 'Ronald Summers',[AreaDesc] = 'RAILS' where [Area]=2009</v>
      </c>
      <c r="AB40" t="s">
        <v>762</v>
      </c>
    </row>
    <row r="41" spans="1:28">
      <c r="A41" t="s">
        <v>141</v>
      </c>
      <c r="B41">
        <v>2013</v>
      </c>
      <c r="C41" t="s">
        <v>166</v>
      </c>
      <c r="D41" t="s">
        <v>150</v>
      </c>
      <c r="E41" t="s">
        <v>753</v>
      </c>
      <c r="G41" t="s">
        <v>716</v>
      </c>
      <c r="H41" s="300" t="str">
        <f>CHAR(39)</f>
        <v>'</v>
      </c>
      <c r="I41" t="str">
        <f>TRIM(SUBSTITUTE(D41,"'","''"))</f>
        <v>Bradley Greene</v>
      </c>
      <c r="J41" s="300" t="str">
        <f>CHAR(39)</f>
        <v>'</v>
      </c>
      <c r="K41" t="s">
        <v>717</v>
      </c>
      <c r="L41" s="300" t="str">
        <f>CHAR(39)</f>
        <v>'</v>
      </c>
      <c r="M41" t="str">
        <f>TRIM(E41)</f>
        <v>West Building</v>
      </c>
      <c r="N41" s="300" t="str">
        <f>CHAR(39)</f>
        <v>'</v>
      </c>
      <c r="O41" t="s">
        <v>718</v>
      </c>
      <c r="P41" s="300" t="str">
        <f>CHAR(39)</f>
        <v>'</v>
      </c>
      <c r="Q41" t="str">
        <f>TRIM(SUBSTITUTE(IF(C41=0,"",C41),"'","''"))</f>
        <v>Matthew Harrington</v>
      </c>
      <c r="R41" s="300" t="str">
        <f>CHAR(39)</f>
        <v>'</v>
      </c>
      <c r="S41" t="s">
        <v>719</v>
      </c>
      <c r="T41" s="300" t="str">
        <f>CHAR(39)</f>
        <v>'</v>
      </c>
      <c r="U41" t="str">
        <f>TRIM(SUBSTITUTE(A41,"'","''"))</f>
        <v>RAILS</v>
      </c>
      <c r="V41" s="300" t="str">
        <f>CHAR(39)</f>
        <v>'</v>
      </c>
      <c r="W41" t="s">
        <v>720</v>
      </c>
      <c r="X41">
        <f>IF(ISNUMBER(B41),B41,CHAR(39)&amp;TRIM(B41)&amp;CHAR(39))</f>
        <v>2013</v>
      </c>
      <c r="Z41" t="str">
        <f>_xlfn.CONCAT(G41:X41)</f>
        <v>update [dbo].[Inventory] Set [Auditor]  = 'Bradley Greene',[Building]  = 'West Building',[Writer] = 'Matthew Harrington',[AreaDesc] = 'RAILS' where [Area]=2013</v>
      </c>
      <c r="AB41" t="s">
        <v>763</v>
      </c>
    </row>
    <row r="42" spans="1:28">
      <c r="A42" t="s">
        <v>141</v>
      </c>
      <c r="B42">
        <v>2014</v>
      </c>
      <c r="C42" t="s">
        <v>168</v>
      </c>
      <c r="D42" t="s">
        <v>153</v>
      </c>
      <c r="E42" t="s">
        <v>753</v>
      </c>
      <c r="G42" t="s">
        <v>716</v>
      </c>
      <c r="H42" s="300" t="str">
        <f>CHAR(39)</f>
        <v>'</v>
      </c>
      <c r="I42" t="str">
        <f>TRIM(SUBSTITUTE(D42,"'","''"))</f>
        <v>Kara Burch</v>
      </c>
      <c r="J42" s="300" t="str">
        <f>CHAR(39)</f>
        <v>'</v>
      </c>
      <c r="K42" t="s">
        <v>717</v>
      </c>
      <c r="L42" s="300" t="str">
        <f>CHAR(39)</f>
        <v>'</v>
      </c>
      <c r="M42" t="str">
        <f>TRIM(E42)</f>
        <v>West Building</v>
      </c>
      <c r="N42" s="300" t="str">
        <f>CHAR(39)</f>
        <v>'</v>
      </c>
      <c r="O42" t="s">
        <v>718</v>
      </c>
      <c r="P42" s="300" t="str">
        <f>CHAR(39)</f>
        <v>'</v>
      </c>
      <c r="Q42" t="str">
        <f>TRIM(SUBSTITUTE(IF(C42=0,"",C42),"'","''"))</f>
        <v>Mike Allred</v>
      </c>
      <c r="R42" s="300" t="str">
        <f>CHAR(39)</f>
        <v>'</v>
      </c>
      <c r="S42" t="s">
        <v>719</v>
      </c>
      <c r="T42" s="300" t="str">
        <f>CHAR(39)</f>
        <v>'</v>
      </c>
      <c r="U42" t="str">
        <f>TRIM(SUBSTITUTE(A42,"'","''"))</f>
        <v>RAILS</v>
      </c>
      <c r="V42" s="300" t="str">
        <f>CHAR(39)</f>
        <v>'</v>
      </c>
      <c r="W42" t="s">
        <v>720</v>
      </c>
      <c r="X42">
        <f>IF(ISNUMBER(B42),B42,CHAR(39)&amp;TRIM(B42)&amp;CHAR(39))</f>
        <v>2014</v>
      </c>
      <c r="Z42" t="str">
        <f>_xlfn.CONCAT(G42:X42)</f>
        <v>update [dbo].[Inventory] Set [Auditor]  = 'Kara Burch',[Building]  = 'West Building',[Writer] = 'Mike Allred',[AreaDesc] = 'RAILS' where [Area]=2014</v>
      </c>
      <c r="AB42" t="s">
        <v>764</v>
      </c>
    </row>
    <row r="43" spans="1:28">
      <c r="A43" t="s">
        <v>141</v>
      </c>
      <c r="B43">
        <v>2015</v>
      </c>
      <c r="C43" t="s">
        <v>170</v>
      </c>
      <c r="D43" t="s">
        <v>172</v>
      </c>
      <c r="E43" t="s">
        <v>753</v>
      </c>
      <c r="G43" t="s">
        <v>716</v>
      </c>
      <c r="H43" s="300" t="str">
        <f>CHAR(39)</f>
        <v>'</v>
      </c>
      <c r="I43" t="str">
        <f>TRIM(SUBSTITUTE(D43,"'","''"))</f>
        <v>Alvaro sScherer</v>
      </c>
      <c r="J43" s="300" t="str">
        <f>CHAR(39)</f>
        <v>'</v>
      </c>
      <c r="K43" t="s">
        <v>717</v>
      </c>
      <c r="L43" s="300" t="str">
        <f>CHAR(39)</f>
        <v>'</v>
      </c>
      <c r="M43" t="str">
        <f>TRIM(E43)</f>
        <v>West Building</v>
      </c>
      <c r="N43" s="300" t="str">
        <f>CHAR(39)</f>
        <v>'</v>
      </c>
      <c r="O43" t="s">
        <v>718</v>
      </c>
      <c r="P43" s="300" t="str">
        <f>CHAR(39)</f>
        <v>'</v>
      </c>
      <c r="Q43" t="str">
        <f>TRIM(SUBSTITUTE(IF(C43=0,"",C43),"'","''"))</f>
        <v>Randy Gilbert</v>
      </c>
      <c r="R43" s="300" t="str">
        <f>CHAR(39)</f>
        <v>'</v>
      </c>
      <c r="S43" t="s">
        <v>719</v>
      </c>
      <c r="T43" s="300" t="str">
        <f>CHAR(39)</f>
        <v>'</v>
      </c>
      <c r="U43" t="str">
        <f>TRIM(SUBSTITUTE(A43,"'","''"))</f>
        <v>RAILS</v>
      </c>
      <c r="V43" s="300" t="str">
        <f>CHAR(39)</f>
        <v>'</v>
      </c>
      <c r="W43" t="s">
        <v>720</v>
      </c>
      <c r="X43">
        <f>IF(ISNUMBER(B43),B43,CHAR(39)&amp;TRIM(B43)&amp;CHAR(39))</f>
        <v>2015</v>
      </c>
      <c r="Z43" t="str">
        <f>_xlfn.CONCAT(G43:X43)</f>
        <v>update [dbo].[Inventory] Set [Auditor]  = 'Alvaro sScherer',[Building]  = 'West Building',[Writer] = 'Randy Gilbert',[AreaDesc] = 'RAILS' where [Area]=2015</v>
      </c>
      <c r="AB43" t="s">
        <v>765</v>
      </c>
    </row>
    <row r="44" spans="1:28">
      <c r="A44" t="s">
        <v>178</v>
      </c>
      <c r="B44">
        <v>3001</v>
      </c>
      <c r="C44" t="s">
        <v>179</v>
      </c>
      <c r="D44" t="s">
        <v>181</v>
      </c>
      <c r="E44" t="s">
        <v>766</v>
      </c>
      <c r="G44" t="s">
        <v>716</v>
      </c>
      <c r="H44" s="300" t="str">
        <f>CHAR(39)</f>
        <v>'</v>
      </c>
      <c r="I44" t="str">
        <f>TRIM(SUBSTITUTE(D44,"'","''"))</f>
        <v>Adam Wambaugh</v>
      </c>
      <c r="J44" s="300" t="str">
        <f>CHAR(39)</f>
        <v>'</v>
      </c>
      <c r="K44" t="s">
        <v>717</v>
      </c>
      <c r="L44" s="300" t="str">
        <f>CHAR(39)</f>
        <v>'</v>
      </c>
      <c r="M44" t="str">
        <f>TRIM(E44)</f>
        <v>Main Building</v>
      </c>
      <c r="N44" s="300" t="str">
        <f>CHAR(39)</f>
        <v>'</v>
      </c>
      <c r="O44" t="s">
        <v>718</v>
      </c>
      <c r="P44" s="300" t="str">
        <f>CHAR(39)</f>
        <v>'</v>
      </c>
      <c r="Q44" t="str">
        <f>TRIM(SUBSTITUTE(IF(C44=0,"",C44),"'","''"))</f>
        <v>Spencer Mazure</v>
      </c>
      <c r="R44" s="300" t="str">
        <f>CHAR(39)</f>
        <v>'</v>
      </c>
      <c r="S44" t="s">
        <v>719</v>
      </c>
      <c r="T44" s="300" t="str">
        <f>CHAR(39)</f>
        <v>'</v>
      </c>
      <c r="U44" t="str">
        <f>TRIM(SUBSTITUTE(A44,"'","''"))</f>
        <v>OUTSIDE - FLOOR DEPT</v>
      </c>
      <c r="V44" s="300" t="str">
        <f>CHAR(39)</f>
        <v>'</v>
      </c>
      <c r="W44" t="s">
        <v>720</v>
      </c>
      <c r="X44">
        <f>IF(ISNUMBER(B44),B44,CHAR(39)&amp;TRIM(B44)&amp;CHAR(39))</f>
        <v>3001</v>
      </c>
      <c r="Z44" t="str">
        <f>_xlfn.CONCAT(G44:X44)</f>
        <v>update [dbo].[Inventory] Set [Auditor]  = 'Adam Wambaugh',[Building]  = 'Main Building',[Writer] = 'Spencer Mazure',[AreaDesc] = 'OUTSIDE - FLOOR DEPT' where [Area]=3001</v>
      </c>
      <c r="AB44" t="s">
        <v>767</v>
      </c>
    </row>
    <row r="45" spans="1:28">
      <c r="A45" t="s">
        <v>182</v>
      </c>
      <c r="B45">
        <v>3003</v>
      </c>
      <c r="C45" t="s">
        <v>183</v>
      </c>
      <c r="D45" t="s">
        <v>181</v>
      </c>
      <c r="E45" t="s">
        <v>766</v>
      </c>
      <c r="G45" t="s">
        <v>716</v>
      </c>
      <c r="H45" s="300" t="str">
        <f>CHAR(39)</f>
        <v>'</v>
      </c>
      <c r="I45" t="str">
        <f>TRIM(SUBSTITUTE(D45,"'","''"))</f>
        <v>Adam Wambaugh</v>
      </c>
      <c r="J45" s="300" t="str">
        <f>CHAR(39)</f>
        <v>'</v>
      </c>
      <c r="K45" t="s">
        <v>717</v>
      </c>
      <c r="L45" s="300" t="str">
        <f>CHAR(39)</f>
        <v>'</v>
      </c>
      <c r="M45" t="str">
        <f>TRIM(E45)</f>
        <v>Main Building</v>
      </c>
      <c r="N45" s="300" t="str">
        <f>CHAR(39)</f>
        <v>'</v>
      </c>
      <c r="O45" t="s">
        <v>718</v>
      </c>
      <c r="P45" s="300" t="str">
        <f>CHAR(39)</f>
        <v>'</v>
      </c>
      <c r="Q45" t="str">
        <f>TRIM(SUBSTITUTE(IF(C45=0,"",C45),"'","''"))</f>
        <v>Dylan Thompson</v>
      </c>
      <c r="R45" s="300" t="str">
        <f>CHAR(39)</f>
        <v>'</v>
      </c>
      <c r="S45" t="s">
        <v>719</v>
      </c>
      <c r="T45" s="300" t="str">
        <f>CHAR(39)</f>
        <v>'</v>
      </c>
      <c r="U45" t="str">
        <f>TRIM(SUBSTITUTE(A45,"'","''"))</f>
        <v>FLOORS/TRIM</v>
      </c>
      <c r="V45" s="300" t="str">
        <f>CHAR(39)</f>
        <v>'</v>
      </c>
      <c r="W45" t="s">
        <v>720</v>
      </c>
      <c r="X45">
        <f>IF(ISNUMBER(B45),B45,CHAR(39)&amp;TRIM(B45)&amp;CHAR(39))</f>
        <v>3003</v>
      </c>
      <c r="Z45" t="str">
        <f>_xlfn.CONCAT(G45:X45)</f>
        <v>update [dbo].[Inventory] Set [Auditor]  = 'Adam Wambaugh',[Building]  = 'Main Building',[Writer] = 'Dylan Thompson',[AreaDesc] = 'FLOORS/TRIM' where [Area]=3003</v>
      </c>
      <c r="AB45" t="s">
        <v>768</v>
      </c>
    </row>
    <row r="46" spans="1:28">
      <c r="A46" t="s">
        <v>185</v>
      </c>
      <c r="B46">
        <v>3005</v>
      </c>
      <c r="C46" t="s">
        <v>186</v>
      </c>
      <c r="D46" t="s">
        <v>188</v>
      </c>
      <c r="E46" t="s">
        <v>766</v>
      </c>
      <c r="G46" t="s">
        <v>716</v>
      </c>
      <c r="H46" s="300" t="str">
        <f>CHAR(39)</f>
        <v>'</v>
      </c>
      <c r="I46" t="str">
        <f>TRIM(SUBSTITUTE(D46,"'","''"))</f>
        <v>Mairo Hernandez</v>
      </c>
      <c r="J46" s="300" t="str">
        <f>CHAR(39)</f>
        <v>'</v>
      </c>
      <c r="K46" t="s">
        <v>717</v>
      </c>
      <c r="L46" s="300" t="str">
        <f>CHAR(39)</f>
        <v>'</v>
      </c>
      <c r="M46" t="str">
        <f>TRIM(E46)</f>
        <v>Main Building</v>
      </c>
      <c r="N46" s="300" t="str">
        <f>CHAR(39)</f>
        <v>'</v>
      </c>
      <c r="O46" t="s">
        <v>718</v>
      </c>
      <c r="P46" s="300" t="str">
        <f>CHAR(39)</f>
        <v>'</v>
      </c>
      <c r="Q46" t="str">
        <f>TRIM(SUBSTITUTE(IF(C46=0,"",C46),"'","''"))</f>
        <v>Leandro Morillo</v>
      </c>
      <c r="R46" s="300" t="str">
        <f>CHAR(39)</f>
        <v>'</v>
      </c>
      <c r="S46" t="s">
        <v>719</v>
      </c>
      <c r="T46" s="300" t="str">
        <f>CHAR(39)</f>
        <v>'</v>
      </c>
      <c r="U46" t="str">
        <f>TRIM(SUBSTITUTE(A46,"'","''"))</f>
        <v>GATES</v>
      </c>
      <c r="V46" s="300" t="str">
        <f>CHAR(39)</f>
        <v>'</v>
      </c>
      <c r="W46" t="s">
        <v>720</v>
      </c>
      <c r="X46">
        <f>IF(ISNUMBER(B46),B46,CHAR(39)&amp;TRIM(B46)&amp;CHAR(39))</f>
        <v>3005</v>
      </c>
      <c r="Z46" t="str">
        <f>_xlfn.CONCAT(G46:X46)</f>
        <v>update [dbo].[Inventory] Set [Auditor]  = 'Mairo Hernandez',[Building]  = 'Main Building',[Writer] = 'Leandro Morillo',[AreaDesc] = 'GATES' where [Area]=3005</v>
      </c>
      <c r="AB46" t="s">
        <v>769</v>
      </c>
    </row>
    <row r="47" spans="1:28">
      <c r="A47" t="s">
        <v>189</v>
      </c>
      <c r="B47">
        <v>3006</v>
      </c>
      <c r="C47" t="s">
        <v>190</v>
      </c>
      <c r="D47" t="s">
        <v>192</v>
      </c>
      <c r="E47" t="s">
        <v>766</v>
      </c>
      <c r="G47" t="s">
        <v>716</v>
      </c>
      <c r="H47" s="300" t="str">
        <f>CHAR(39)</f>
        <v>'</v>
      </c>
      <c r="I47" t="str">
        <f>TRIM(SUBSTITUTE(D47,"'","''"))</f>
        <v>William Reynolds</v>
      </c>
      <c r="J47" s="300" t="str">
        <f>CHAR(39)</f>
        <v>'</v>
      </c>
      <c r="K47" t="s">
        <v>717</v>
      </c>
      <c r="L47" s="300" t="str">
        <f>CHAR(39)</f>
        <v>'</v>
      </c>
      <c r="M47" t="str">
        <f>TRIM(E47)</f>
        <v>Main Building</v>
      </c>
      <c r="N47" s="300" t="str">
        <f>CHAR(39)</f>
        <v>'</v>
      </c>
      <c r="O47" t="s">
        <v>718</v>
      </c>
      <c r="P47" s="300" t="str">
        <f>CHAR(39)</f>
        <v>'</v>
      </c>
      <c r="Q47" t="str">
        <f>TRIM(SUBSTITUTE(IF(C47=0,"",C47),"'","''"))</f>
        <v>Justin Schumacher</v>
      </c>
      <c r="R47" s="300" t="str">
        <f>CHAR(39)</f>
        <v>'</v>
      </c>
      <c r="S47" t="s">
        <v>719</v>
      </c>
      <c r="T47" s="300" t="str">
        <f>CHAR(39)</f>
        <v>'</v>
      </c>
      <c r="U47" t="str">
        <f>TRIM(SUBSTITUTE(A47,"'","''"))</f>
        <v>STEERING CABLES</v>
      </c>
      <c r="V47" s="300" t="str">
        <f>CHAR(39)</f>
        <v>'</v>
      </c>
      <c r="W47" t="s">
        <v>720</v>
      </c>
      <c r="X47">
        <f>IF(ISNUMBER(B47),B47,CHAR(39)&amp;TRIM(B47)&amp;CHAR(39))</f>
        <v>3006</v>
      </c>
      <c r="Z47" t="str">
        <f>_xlfn.CONCAT(G47:X47)</f>
        <v>update [dbo].[Inventory] Set [Auditor]  = 'William Reynolds',[Building]  = 'Main Building',[Writer] = 'Justin Schumacher',[AreaDesc] = 'STEERING CABLES' where [Area]=3006</v>
      </c>
      <c r="AB47" t="s">
        <v>770</v>
      </c>
    </row>
    <row r="48" spans="1:28">
      <c r="A48" t="s">
        <v>193</v>
      </c>
      <c r="B48">
        <v>3008</v>
      </c>
      <c r="C48" t="s">
        <v>194</v>
      </c>
      <c r="D48" t="s">
        <v>196</v>
      </c>
      <c r="E48" t="s">
        <v>766</v>
      </c>
      <c r="G48" t="s">
        <v>716</v>
      </c>
      <c r="H48" s="300" t="str">
        <f>CHAR(39)</f>
        <v>'</v>
      </c>
      <c r="I48" t="str">
        <f>TRIM(SUBSTITUTE(D48,"'","''"))</f>
        <v>Eliseo Perez Montiel</v>
      </c>
      <c r="J48" s="300" t="str">
        <f>CHAR(39)</f>
        <v>'</v>
      </c>
      <c r="K48" t="s">
        <v>717</v>
      </c>
      <c r="L48" s="300" t="str">
        <f>CHAR(39)</f>
        <v>'</v>
      </c>
      <c r="M48" t="str">
        <f>TRIM(E48)</f>
        <v>Main Building</v>
      </c>
      <c r="N48" s="300" t="str">
        <f>CHAR(39)</f>
        <v>'</v>
      </c>
      <c r="O48" t="s">
        <v>718</v>
      </c>
      <c r="P48" s="300" t="str">
        <f>CHAR(39)</f>
        <v>'</v>
      </c>
      <c r="Q48" t="str">
        <f>TRIM(SUBSTITUTE(IF(C48=0,"",C48),"'","''"))</f>
        <v>Carlos Gonzalez</v>
      </c>
      <c r="R48" s="300" t="str">
        <f>CHAR(39)</f>
        <v>'</v>
      </c>
      <c r="S48" t="s">
        <v>719</v>
      </c>
      <c r="T48" s="300" t="str">
        <f>CHAR(39)</f>
        <v>'</v>
      </c>
      <c r="U48" t="str">
        <f>TRIM(SUBSTITUTE(A48,"'","''"))</f>
        <v>PANEL FINISHING II</v>
      </c>
      <c r="V48" s="300" t="str">
        <f>CHAR(39)</f>
        <v>'</v>
      </c>
      <c r="W48" t="s">
        <v>720</v>
      </c>
      <c r="X48">
        <f>IF(ISNUMBER(B48),B48,CHAR(39)&amp;TRIM(B48)&amp;CHAR(39))</f>
        <v>3008</v>
      </c>
      <c r="Z48" t="str">
        <f>_xlfn.CONCAT(G48:X48)</f>
        <v>update [dbo].[Inventory] Set [Auditor]  = 'Eliseo Perez Montiel',[Building]  = 'Main Building',[Writer] = 'Carlos Gonzalez',[AreaDesc] = 'PANEL FINISHING II' where [Area]=3008</v>
      </c>
      <c r="AB48" t="s">
        <v>771</v>
      </c>
    </row>
    <row r="49" spans="1:28">
      <c r="A49" t="s">
        <v>197</v>
      </c>
      <c r="B49">
        <v>3009</v>
      </c>
      <c r="C49" t="s">
        <v>198</v>
      </c>
      <c r="D49" t="s">
        <v>196</v>
      </c>
      <c r="E49" t="s">
        <v>766</v>
      </c>
      <c r="G49" t="s">
        <v>716</v>
      </c>
      <c r="H49" s="300" t="str">
        <f>CHAR(39)</f>
        <v>'</v>
      </c>
      <c r="I49" t="str">
        <f>TRIM(SUBSTITUTE(D49,"'","''"))</f>
        <v>Eliseo Perez Montiel</v>
      </c>
      <c r="J49" s="300" t="str">
        <f>CHAR(39)</f>
        <v>'</v>
      </c>
      <c r="K49" t="s">
        <v>717</v>
      </c>
      <c r="L49" s="300" t="str">
        <f>CHAR(39)</f>
        <v>'</v>
      </c>
      <c r="M49" t="str">
        <f>TRIM(E49)</f>
        <v>Main Building</v>
      </c>
      <c r="N49" s="300" t="str">
        <f>CHAR(39)</f>
        <v>'</v>
      </c>
      <c r="O49" t="s">
        <v>718</v>
      </c>
      <c r="P49" s="300" t="str">
        <f>CHAR(39)</f>
        <v>'</v>
      </c>
      <c r="Q49" t="str">
        <f>TRIM(SUBSTITUTE(IF(C49=0,"",C49),"'","''"))</f>
        <v>Darwin Villasmil</v>
      </c>
      <c r="R49" s="300" t="str">
        <f>CHAR(39)</f>
        <v>'</v>
      </c>
      <c r="S49" t="s">
        <v>719</v>
      </c>
      <c r="T49" s="300" t="str">
        <f>CHAR(39)</f>
        <v>'</v>
      </c>
      <c r="U49" t="str">
        <f>TRIM(SUBSTITUTE(A49,"'","''"))</f>
        <v>PANEL FINISHING I</v>
      </c>
      <c r="V49" s="300" t="str">
        <f>CHAR(39)</f>
        <v>'</v>
      </c>
      <c r="W49" t="s">
        <v>720</v>
      </c>
      <c r="X49">
        <f>IF(ISNUMBER(B49),B49,CHAR(39)&amp;TRIM(B49)&amp;CHAR(39))</f>
        <v>3009</v>
      </c>
      <c r="Z49" t="str">
        <f>_xlfn.CONCAT(G49:X49)</f>
        <v>update [dbo].[Inventory] Set [Auditor]  = 'Eliseo Perez Montiel',[Building]  = 'Main Building',[Writer] = 'Darwin Villasmil',[AreaDesc] = 'PANEL FINISHING I' where [Area]=3009</v>
      </c>
      <c r="AB49" t="s">
        <v>772</v>
      </c>
    </row>
    <row r="50" spans="1:28">
      <c r="A50" t="s">
        <v>200</v>
      </c>
      <c r="B50">
        <v>3020</v>
      </c>
      <c r="C50" t="s">
        <v>201</v>
      </c>
      <c r="D50" t="s">
        <v>203</v>
      </c>
      <c r="E50" t="s">
        <v>766</v>
      </c>
      <c r="G50" t="s">
        <v>716</v>
      </c>
      <c r="H50" s="300" t="str">
        <f>CHAR(39)</f>
        <v>'</v>
      </c>
      <c r="I50" t="str">
        <f>TRIM(SUBSTITUTE(D50,"'","''"))</f>
        <v>Connor Treadway</v>
      </c>
      <c r="J50" s="300" t="str">
        <f>CHAR(39)</f>
        <v>'</v>
      </c>
      <c r="K50" t="s">
        <v>717</v>
      </c>
      <c r="L50" s="300" t="str">
        <f>CHAR(39)</f>
        <v>'</v>
      </c>
      <c r="M50" t="str">
        <f>TRIM(E50)</f>
        <v>Main Building</v>
      </c>
      <c r="N50" s="300" t="str">
        <f>CHAR(39)</f>
        <v>'</v>
      </c>
      <c r="O50" t="s">
        <v>718</v>
      </c>
      <c r="P50" s="300" t="str">
        <f>CHAR(39)</f>
        <v>'</v>
      </c>
      <c r="Q50" t="str">
        <f>TRIM(SUBSTITUTE(IF(C50=0,"",C50),"'","''"))</f>
        <v>Gabriel Reyes + Connor Treadway (Support)</v>
      </c>
      <c r="R50" s="300" t="str">
        <f>CHAR(39)</f>
        <v>'</v>
      </c>
      <c r="S50" t="s">
        <v>719</v>
      </c>
      <c r="T50" s="300" t="str">
        <f>CHAR(39)</f>
        <v>'</v>
      </c>
      <c r="U50" t="str">
        <f>TRIM(SUBSTITUTE(A50,"'","''"))</f>
        <v>BIMINI FRAMES OUTSIDE ( STATIONARY)</v>
      </c>
      <c r="V50" s="300" t="str">
        <f>CHAR(39)</f>
        <v>'</v>
      </c>
      <c r="W50" t="s">
        <v>720</v>
      </c>
      <c r="X50">
        <f>IF(ISNUMBER(B50),B50,CHAR(39)&amp;TRIM(B50)&amp;CHAR(39))</f>
        <v>3020</v>
      </c>
      <c r="Z50" t="str">
        <f>_xlfn.CONCAT(G50:X50)</f>
        <v>update [dbo].[Inventory] Set [Auditor]  = 'Connor Treadway',[Building]  = 'Main Building',[Writer] = 'Gabriel Reyes + Connor Treadway (Support)',[AreaDesc] = 'BIMINI FRAMES OUTSIDE ( STATIONARY)' where [Area]=3020</v>
      </c>
      <c r="AB50" t="s">
        <v>773</v>
      </c>
    </row>
    <row r="51" spans="1:28">
      <c r="A51" t="s">
        <v>204</v>
      </c>
      <c r="B51">
        <v>3010</v>
      </c>
      <c r="C51" t="s">
        <v>205</v>
      </c>
      <c r="D51" t="s">
        <v>203</v>
      </c>
      <c r="E51" t="s">
        <v>766</v>
      </c>
      <c r="G51" t="s">
        <v>716</v>
      </c>
      <c r="H51" s="300" t="str">
        <f>CHAR(39)</f>
        <v>'</v>
      </c>
      <c r="I51" t="str">
        <f>TRIM(SUBSTITUTE(D51,"'","''"))</f>
        <v>Connor Treadway</v>
      </c>
      <c r="J51" s="300" t="str">
        <f>CHAR(39)</f>
        <v>'</v>
      </c>
      <c r="K51" t="s">
        <v>717</v>
      </c>
      <c r="L51" s="300" t="str">
        <f>CHAR(39)</f>
        <v>'</v>
      </c>
      <c r="M51" t="str">
        <f>TRIM(E51)</f>
        <v>Main Building</v>
      </c>
      <c r="N51" s="300" t="str">
        <f>CHAR(39)</f>
        <v>'</v>
      </c>
      <c r="O51" t="s">
        <v>718</v>
      </c>
      <c r="P51" s="300" t="str">
        <f>CHAR(39)</f>
        <v>'</v>
      </c>
      <c r="Q51" t="str">
        <f>TRIM(SUBSTITUTE(IF(C51=0,"",C51),"'","''"))</f>
        <v>Enrique Hernandez + Connor Treadway (Support)</v>
      </c>
      <c r="R51" s="300" t="str">
        <f>CHAR(39)</f>
        <v>'</v>
      </c>
      <c r="S51" t="s">
        <v>719</v>
      </c>
      <c r="T51" s="300" t="str">
        <f>CHAR(39)</f>
        <v>'</v>
      </c>
      <c r="U51" t="str">
        <f>TRIM(SUBSTITUTE(A51,"'","''"))</f>
        <v>BIMINI TOPS / BIMINI FRAMES</v>
      </c>
      <c r="V51" s="300" t="str">
        <f>CHAR(39)</f>
        <v>'</v>
      </c>
      <c r="W51" t="s">
        <v>720</v>
      </c>
      <c r="X51">
        <f>IF(ISNUMBER(B51),B51,CHAR(39)&amp;TRIM(B51)&amp;CHAR(39))</f>
        <v>3010</v>
      </c>
      <c r="Z51" t="str">
        <f>_xlfn.CONCAT(G51:X51)</f>
        <v>update [dbo].[Inventory] Set [Auditor]  = 'Connor Treadway',[Building]  = 'Main Building',[Writer] = 'Enrique Hernandez + Connor Treadway (Support)',[AreaDesc] = 'BIMINI TOPS / BIMINI FRAMES' where [Area]=3010</v>
      </c>
      <c r="AB51" t="s">
        <v>774</v>
      </c>
    </row>
    <row r="52" spans="1:28">
      <c r="A52" t="s">
        <v>207</v>
      </c>
      <c r="B52">
        <v>3013</v>
      </c>
      <c r="C52" t="s">
        <v>208</v>
      </c>
      <c r="D52" t="s">
        <v>210</v>
      </c>
      <c r="E52" t="s">
        <v>766</v>
      </c>
      <c r="G52" t="s">
        <v>716</v>
      </c>
      <c r="H52" s="300" t="str">
        <f>CHAR(39)</f>
        <v>'</v>
      </c>
      <c r="I52" t="str">
        <f>TRIM(SUBSTITUTE(D52,"'","''"))</f>
        <v>Jose Montiel</v>
      </c>
      <c r="J52" s="300" t="str">
        <f>CHAR(39)</f>
        <v>'</v>
      </c>
      <c r="K52" t="s">
        <v>717</v>
      </c>
      <c r="L52" s="300" t="str">
        <f>CHAR(39)</f>
        <v>'</v>
      </c>
      <c r="M52" t="str">
        <f>TRIM(E52)</f>
        <v>Main Building</v>
      </c>
      <c r="N52" s="300" t="str">
        <f>CHAR(39)</f>
        <v>'</v>
      </c>
      <c r="O52" t="s">
        <v>718</v>
      </c>
      <c r="P52" s="300" t="str">
        <f>CHAR(39)</f>
        <v>'</v>
      </c>
      <c r="Q52" t="str">
        <f>TRIM(SUBSTITUTE(IF(C52=0,"",C52),"'","''"))</f>
        <v>Brennan Condy</v>
      </c>
      <c r="R52" s="300" t="str">
        <f>CHAR(39)</f>
        <v>'</v>
      </c>
      <c r="S52" t="s">
        <v>719</v>
      </c>
      <c r="T52" s="300" t="str">
        <f>CHAR(39)</f>
        <v>'</v>
      </c>
      <c r="U52" t="str">
        <f>TRIM(SUBSTITUTE(A52,"'","''"))</f>
        <v>PANEL STOCK</v>
      </c>
      <c r="V52" s="300" t="str">
        <f>CHAR(39)</f>
        <v>'</v>
      </c>
      <c r="W52" t="s">
        <v>720</v>
      </c>
      <c r="X52">
        <f>IF(ISNUMBER(B52),B52,CHAR(39)&amp;TRIM(B52)&amp;CHAR(39))</f>
        <v>3013</v>
      </c>
      <c r="Z52" t="str">
        <f>_xlfn.CONCAT(G52:X52)</f>
        <v>update [dbo].[Inventory] Set [Auditor]  = 'Jose Montiel',[Building]  = 'Main Building',[Writer] = 'Brennan Condy',[AreaDesc] = 'PANEL STOCK' where [Area]=3013</v>
      </c>
      <c r="AB52" t="s">
        <v>775</v>
      </c>
    </row>
    <row r="53" spans="1:28">
      <c r="A53" t="s">
        <v>211</v>
      </c>
      <c r="B53">
        <v>3014</v>
      </c>
      <c r="C53" t="s">
        <v>212</v>
      </c>
      <c r="D53" t="s">
        <v>214</v>
      </c>
      <c r="E53" t="s">
        <v>766</v>
      </c>
      <c r="G53" t="s">
        <v>716</v>
      </c>
      <c r="H53" s="300" t="str">
        <f>CHAR(39)</f>
        <v>'</v>
      </c>
      <c r="I53" t="str">
        <f>TRIM(SUBSTITUTE(D53,"'","''"))</f>
        <v>Da-Vontae Suggs</v>
      </c>
      <c r="J53" s="300" t="str">
        <f>CHAR(39)</f>
        <v>'</v>
      </c>
      <c r="K53" t="s">
        <v>717</v>
      </c>
      <c r="L53" s="300" t="str">
        <f>CHAR(39)</f>
        <v>'</v>
      </c>
      <c r="M53" t="str">
        <f>TRIM(E53)</f>
        <v>Main Building</v>
      </c>
      <c r="N53" s="300" t="str">
        <f>CHAR(39)</f>
        <v>'</v>
      </c>
      <c r="O53" t="s">
        <v>718</v>
      </c>
      <c r="P53" s="300" t="str">
        <f>CHAR(39)</f>
        <v>'</v>
      </c>
      <c r="Q53" t="str">
        <f>TRIM(SUBSTITUTE(IF(C53=0,"",C53),"'","''"))</f>
        <v>Dervin Reyes</v>
      </c>
      <c r="R53" s="300" t="str">
        <f>CHAR(39)</f>
        <v>'</v>
      </c>
      <c r="S53" t="s">
        <v>719</v>
      </c>
      <c r="T53" s="300" t="str">
        <f>CHAR(39)</f>
        <v>'</v>
      </c>
      <c r="U53" t="str">
        <f>TRIM(SUBSTITUTE(A53,"'","''"))</f>
        <v>PANEL INSTALL</v>
      </c>
      <c r="V53" s="300" t="str">
        <f>CHAR(39)</f>
        <v>'</v>
      </c>
      <c r="W53" t="s">
        <v>720</v>
      </c>
      <c r="X53">
        <f>IF(ISNUMBER(B53),B53,CHAR(39)&amp;TRIM(B53)&amp;CHAR(39))</f>
        <v>3014</v>
      </c>
      <c r="Z53" t="str">
        <f>_xlfn.CONCAT(G53:X53)</f>
        <v>update [dbo].[Inventory] Set [Auditor]  = 'Da-Vontae Suggs',[Building]  = 'Main Building',[Writer] = 'Dervin Reyes',[AreaDesc] = 'PANEL INSTALL' where [Area]=3014</v>
      </c>
      <c r="AB53" t="s">
        <v>776</v>
      </c>
    </row>
    <row r="54" spans="1:28">
      <c r="A54" t="s">
        <v>207</v>
      </c>
      <c r="B54">
        <v>3015</v>
      </c>
      <c r="C54" t="s">
        <v>216</v>
      </c>
      <c r="D54" t="s">
        <v>214</v>
      </c>
      <c r="E54" t="s">
        <v>766</v>
      </c>
      <c r="G54" t="s">
        <v>716</v>
      </c>
      <c r="H54" s="300" t="str">
        <f>CHAR(39)</f>
        <v>'</v>
      </c>
      <c r="I54" t="str">
        <f>TRIM(SUBSTITUTE(D54,"'","''"))</f>
        <v>Da-Vontae Suggs</v>
      </c>
      <c r="J54" s="300" t="str">
        <f>CHAR(39)</f>
        <v>'</v>
      </c>
      <c r="K54" t="s">
        <v>717</v>
      </c>
      <c r="L54" s="300" t="str">
        <f>CHAR(39)</f>
        <v>'</v>
      </c>
      <c r="M54" t="str">
        <f>TRIM(E54)</f>
        <v>Main Building</v>
      </c>
      <c r="N54" s="300" t="str">
        <f>CHAR(39)</f>
        <v>'</v>
      </c>
      <c r="O54" t="s">
        <v>718</v>
      </c>
      <c r="P54" s="300" t="str">
        <f>CHAR(39)</f>
        <v>'</v>
      </c>
      <c r="Q54" t="str">
        <f>TRIM(SUBSTITUTE(IF(C54=0,"",C54),"'","''"))</f>
        <v>Stephanie Pixley</v>
      </c>
      <c r="R54" s="300" t="str">
        <f>CHAR(39)</f>
        <v>'</v>
      </c>
      <c r="S54" t="s">
        <v>719</v>
      </c>
      <c r="T54" s="300" t="str">
        <f>CHAR(39)</f>
        <v>'</v>
      </c>
      <c r="U54" t="str">
        <f>TRIM(SUBSTITUTE(A54,"'","''"))</f>
        <v>PANEL STOCK</v>
      </c>
      <c r="V54" s="300" t="str">
        <f>CHAR(39)</f>
        <v>'</v>
      </c>
      <c r="W54" t="s">
        <v>720</v>
      </c>
      <c r="X54">
        <f>IF(ISNUMBER(B54),B54,CHAR(39)&amp;TRIM(B54)&amp;CHAR(39))</f>
        <v>3015</v>
      </c>
      <c r="Z54" t="str">
        <f>_xlfn.CONCAT(G54:X54)</f>
        <v>update [dbo].[Inventory] Set [Auditor]  = 'Da-Vontae Suggs',[Building]  = 'Main Building',[Writer] = 'Stephanie Pixley',[AreaDesc] = 'PANEL STOCK' where [Area]=3015</v>
      </c>
      <c r="AB54" t="s">
        <v>777</v>
      </c>
    </row>
    <row r="55" spans="1:28">
      <c r="A55" t="s">
        <v>185</v>
      </c>
      <c r="B55">
        <v>3016</v>
      </c>
      <c r="C55" t="s">
        <v>218</v>
      </c>
      <c r="D55" t="s">
        <v>188</v>
      </c>
      <c r="E55" t="s">
        <v>766</v>
      </c>
      <c r="G55" t="s">
        <v>716</v>
      </c>
      <c r="H55" s="300" t="str">
        <f>CHAR(39)</f>
        <v>'</v>
      </c>
      <c r="I55" t="str">
        <f>TRIM(SUBSTITUTE(D55,"'","''"))</f>
        <v>Mairo Hernandez</v>
      </c>
      <c r="J55" s="300" t="str">
        <f>CHAR(39)</f>
        <v>'</v>
      </c>
      <c r="K55" t="s">
        <v>717</v>
      </c>
      <c r="L55" s="300" t="str">
        <f>CHAR(39)</f>
        <v>'</v>
      </c>
      <c r="M55" t="str">
        <f>TRIM(E55)</f>
        <v>Main Building</v>
      </c>
      <c r="N55" s="300" t="str">
        <f>CHAR(39)</f>
        <v>'</v>
      </c>
      <c r="O55" t="s">
        <v>718</v>
      </c>
      <c r="P55" s="300" t="str">
        <f>CHAR(39)</f>
        <v>'</v>
      </c>
      <c r="Q55" t="str">
        <f>TRIM(SUBSTITUTE(IF(C55=0,"",C55),"'","''"))</f>
        <v>Jilmer Dos Santos</v>
      </c>
      <c r="R55" s="300" t="str">
        <f>CHAR(39)</f>
        <v>'</v>
      </c>
      <c r="S55" t="s">
        <v>719</v>
      </c>
      <c r="T55" s="300" t="str">
        <f>CHAR(39)</f>
        <v>'</v>
      </c>
      <c r="U55" t="str">
        <f>TRIM(SUBSTITUTE(A55,"'","''"))</f>
        <v>GATES</v>
      </c>
      <c r="V55" s="300" t="str">
        <f>CHAR(39)</f>
        <v>'</v>
      </c>
      <c r="W55" t="s">
        <v>720</v>
      </c>
      <c r="X55">
        <f>IF(ISNUMBER(B55),B55,CHAR(39)&amp;TRIM(B55)&amp;CHAR(39))</f>
        <v>3016</v>
      </c>
      <c r="Z55" t="str">
        <f>_xlfn.CONCAT(G55:X55)</f>
        <v>update [dbo].[Inventory] Set [Auditor]  = 'Mairo Hernandez',[Building]  = 'Main Building',[Writer] = 'Jilmer Dos Santos',[AreaDesc] = 'GATES' where [Area]=3016</v>
      </c>
      <c r="AB55" t="s">
        <v>778</v>
      </c>
    </row>
    <row r="56" spans="1:28">
      <c r="A56" t="s">
        <v>220</v>
      </c>
      <c r="B56">
        <v>3017</v>
      </c>
      <c r="C56" t="s">
        <v>221</v>
      </c>
      <c r="D56" t="s">
        <v>223</v>
      </c>
      <c r="E56" t="s">
        <v>766</v>
      </c>
      <c r="G56" t="s">
        <v>716</v>
      </c>
      <c r="H56" s="300" t="str">
        <f>CHAR(39)</f>
        <v>'</v>
      </c>
      <c r="I56" t="str">
        <f>TRIM(SUBSTITUTE(D56,"'","''"))</f>
        <v>Khanethong Sourivong (Tiger)</v>
      </c>
      <c r="J56" s="300" t="str">
        <f>CHAR(39)</f>
        <v>'</v>
      </c>
      <c r="K56" t="s">
        <v>717</v>
      </c>
      <c r="L56" s="300" t="str">
        <f>CHAR(39)</f>
        <v>'</v>
      </c>
      <c r="M56" t="str">
        <f>TRIM(E56)</f>
        <v>Main Building</v>
      </c>
      <c r="N56" s="300" t="str">
        <f>CHAR(39)</f>
        <v>'</v>
      </c>
      <c r="O56" t="s">
        <v>718</v>
      </c>
      <c r="P56" s="300" t="str">
        <f>CHAR(39)</f>
        <v>'</v>
      </c>
      <c r="Q56" t="str">
        <f>TRIM(SUBSTITUTE(IF(C56=0,"",C56),"'","''"))</f>
        <v>Brandon Lopez</v>
      </c>
      <c r="R56" s="300" t="str">
        <f>CHAR(39)</f>
        <v>'</v>
      </c>
      <c r="S56" t="s">
        <v>719</v>
      </c>
      <c r="T56" s="300" t="str">
        <f>CHAR(39)</f>
        <v>'</v>
      </c>
      <c r="U56" t="str">
        <f>TRIM(SUBSTITUTE(A56,"'","''"))</f>
        <v>RAILS INSIDE/OUTSIDE</v>
      </c>
      <c r="V56" s="300" t="str">
        <f>CHAR(39)</f>
        <v>'</v>
      </c>
      <c r="W56" t="s">
        <v>720</v>
      </c>
      <c r="X56">
        <f>IF(ISNUMBER(B56),B56,CHAR(39)&amp;TRIM(B56)&amp;CHAR(39))</f>
        <v>3017</v>
      </c>
      <c r="Z56" t="str">
        <f>_xlfn.CONCAT(G56:X56)</f>
        <v>update [dbo].[Inventory] Set [Auditor]  = 'Khanethong Sourivong (Tiger)',[Building]  = 'Main Building',[Writer] = 'Brandon Lopez',[AreaDesc] = 'RAILS INSIDE/OUTSIDE' where [Area]=3017</v>
      </c>
      <c r="AB56" t="s">
        <v>779</v>
      </c>
    </row>
    <row r="57" spans="1:28">
      <c r="A57" t="s">
        <v>224</v>
      </c>
      <c r="B57">
        <v>3018</v>
      </c>
      <c r="C57" t="s">
        <v>225</v>
      </c>
      <c r="D57" t="s">
        <v>227</v>
      </c>
      <c r="E57" t="s">
        <v>766</v>
      </c>
      <c r="G57" t="s">
        <v>716</v>
      </c>
      <c r="H57" s="300" t="str">
        <f>CHAR(39)</f>
        <v>'</v>
      </c>
      <c r="I57" t="str">
        <f>TRIM(SUBSTITUTE(D57,"'","''"))</f>
        <v>Billy Humphreys</v>
      </c>
      <c r="J57" s="300" t="str">
        <f>CHAR(39)</f>
        <v>'</v>
      </c>
      <c r="K57" t="s">
        <v>717</v>
      </c>
      <c r="L57" s="300" t="str">
        <f>CHAR(39)</f>
        <v>'</v>
      </c>
      <c r="M57" t="str">
        <f>TRIM(E57)</f>
        <v>Main Building</v>
      </c>
      <c r="N57" s="300" t="str">
        <f>CHAR(39)</f>
        <v>'</v>
      </c>
      <c r="O57" t="s">
        <v>718</v>
      </c>
      <c r="P57" s="300" t="str">
        <f>CHAR(39)</f>
        <v>'</v>
      </c>
      <c r="Q57" t="str">
        <f>TRIM(SUBSTITUTE(IF(C57=0,"",C57),"'","''"))</f>
        <v>Josh Bowering</v>
      </c>
      <c r="R57" s="300" t="str">
        <f>CHAR(39)</f>
        <v>'</v>
      </c>
      <c r="S57" t="s">
        <v>719</v>
      </c>
      <c r="T57" s="300" t="str">
        <f>CHAR(39)</f>
        <v>'</v>
      </c>
      <c r="U57" t="str">
        <f>TRIM(SUBSTITUTE(A57,"'","''"))</f>
        <v>WAVE TAMER</v>
      </c>
      <c r="V57" s="300" t="str">
        <f>CHAR(39)</f>
        <v>'</v>
      </c>
      <c r="W57" t="s">
        <v>720</v>
      </c>
      <c r="X57">
        <f>IF(ISNUMBER(B57),B57,CHAR(39)&amp;TRIM(B57)&amp;CHAR(39))</f>
        <v>3018</v>
      </c>
      <c r="Z57" t="str">
        <f>_xlfn.CONCAT(G57:X57)</f>
        <v>update [dbo].[Inventory] Set [Auditor]  = 'Billy Humphreys',[Building]  = 'Main Building',[Writer] = 'Josh Bowering',[AreaDesc] = 'WAVE TAMER' where [Area]=3018</v>
      </c>
      <c r="AB57" t="s">
        <v>780</v>
      </c>
    </row>
    <row r="58" spans="1:28">
      <c r="A58" t="s">
        <v>228</v>
      </c>
      <c r="B58">
        <v>3019</v>
      </c>
      <c r="C58" t="s">
        <v>225</v>
      </c>
      <c r="D58" t="s">
        <v>227</v>
      </c>
      <c r="E58" t="s">
        <v>766</v>
      </c>
      <c r="G58" t="s">
        <v>716</v>
      </c>
      <c r="H58" s="300" t="str">
        <f>CHAR(39)</f>
        <v>'</v>
      </c>
      <c r="I58" t="str">
        <f>TRIM(SUBSTITUTE(D58,"'","''"))</f>
        <v>Billy Humphreys</v>
      </c>
      <c r="J58" s="300" t="str">
        <f>CHAR(39)</f>
        <v>'</v>
      </c>
      <c r="K58" t="s">
        <v>717</v>
      </c>
      <c r="L58" s="300" t="str">
        <f>CHAR(39)</f>
        <v>'</v>
      </c>
      <c r="M58" t="str">
        <f>TRIM(E58)</f>
        <v>Main Building</v>
      </c>
      <c r="N58" s="300" t="str">
        <f>CHAR(39)</f>
        <v>'</v>
      </c>
      <c r="O58" t="s">
        <v>718</v>
      </c>
      <c r="P58" s="300" t="str">
        <f>CHAR(39)</f>
        <v>'</v>
      </c>
      <c r="Q58" t="str">
        <f>TRIM(SUBSTITUTE(IF(C58=0,"",C58),"'","''"))</f>
        <v>Josh Bowering</v>
      </c>
      <c r="R58" s="300" t="str">
        <f>CHAR(39)</f>
        <v>'</v>
      </c>
      <c r="S58" t="s">
        <v>719</v>
      </c>
      <c r="T58" s="300" t="str">
        <f>CHAR(39)</f>
        <v>'</v>
      </c>
      <c r="U58" t="str">
        <f>TRIM(SUBSTITUTE(A58,"'","''"))</f>
        <v>SHARKHIDE</v>
      </c>
      <c r="V58" s="300" t="str">
        <f>CHAR(39)</f>
        <v>'</v>
      </c>
      <c r="W58" t="s">
        <v>720</v>
      </c>
      <c r="X58">
        <f>IF(ISNUMBER(B58),B58,CHAR(39)&amp;TRIM(B58)&amp;CHAR(39))</f>
        <v>3019</v>
      </c>
      <c r="Z58" t="str">
        <f>_xlfn.CONCAT(G58:X58)</f>
        <v>update [dbo].[Inventory] Set [Auditor]  = 'Billy Humphreys',[Building]  = 'Main Building',[Writer] = 'Josh Bowering',[AreaDesc] = 'SHARKHIDE' where [Area]=3019</v>
      </c>
      <c r="AB58" t="s">
        <v>781</v>
      </c>
    </row>
    <row r="59" spans="1:28">
      <c r="A59" t="s">
        <v>232</v>
      </c>
      <c r="B59">
        <v>3024</v>
      </c>
      <c r="C59" t="s">
        <v>233</v>
      </c>
      <c r="D59" t="s">
        <v>235</v>
      </c>
      <c r="E59" t="s">
        <v>766</v>
      </c>
      <c r="G59" t="s">
        <v>716</v>
      </c>
      <c r="H59" s="300" t="str">
        <f>CHAR(39)</f>
        <v>'</v>
      </c>
      <c r="I59" t="str">
        <f>TRIM(SUBSTITUTE(D59,"'","''"))</f>
        <v>Tony Tu</v>
      </c>
      <c r="J59" s="300" t="str">
        <f>CHAR(39)</f>
        <v>'</v>
      </c>
      <c r="K59" t="s">
        <v>717</v>
      </c>
      <c r="L59" s="300" t="str">
        <f>CHAR(39)</f>
        <v>'</v>
      </c>
      <c r="M59" t="str">
        <f>TRIM(E59)</f>
        <v>Main Building</v>
      </c>
      <c r="N59" s="300" t="str">
        <f>CHAR(39)</f>
        <v>'</v>
      </c>
      <c r="O59" t="s">
        <v>718</v>
      </c>
      <c r="P59" s="300" t="str">
        <f>CHAR(39)</f>
        <v>'</v>
      </c>
      <c r="Q59" t="str">
        <f>TRIM(SUBSTITUTE(IF(C59=0,"",C59),"'","''"))</f>
        <v>Destiny Smith</v>
      </c>
      <c r="R59" s="300" t="str">
        <f>CHAR(39)</f>
        <v>'</v>
      </c>
      <c r="S59" t="s">
        <v>719</v>
      </c>
      <c r="T59" s="300" t="str">
        <f>CHAR(39)</f>
        <v>'</v>
      </c>
      <c r="U59" t="str">
        <f>TRIM(SUBSTITUTE(A59,"'","''"))</f>
        <v>VEADA FURNITURE--BACK WAREHOUSE</v>
      </c>
      <c r="V59" s="300" t="str">
        <f>CHAR(39)</f>
        <v>'</v>
      </c>
      <c r="W59" t="s">
        <v>720</v>
      </c>
      <c r="X59">
        <f>IF(ISNUMBER(B59),B59,CHAR(39)&amp;TRIM(B59)&amp;CHAR(39))</f>
        <v>3024</v>
      </c>
      <c r="Z59" t="str">
        <f>_xlfn.CONCAT(G59:X59)</f>
        <v>update [dbo].[Inventory] Set [Auditor]  = 'Tony Tu',[Building]  = 'Main Building',[Writer] = 'Destiny Smith',[AreaDesc] = 'VEADA FURNITURE--BACK WAREHOUSE' where [Area]=3024</v>
      </c>
      <c r="AB59" t="s">
        <v>782</v>
      </c>
    </row>
    <row r="60" spans="1:28">
      <c r="A60" t="s">
        <v>232</v>
      </c>
      <c r="B60">
        <v>3032</v>
      </c>
      <c r="C60" t="s">
        <v>238</v>
      </c>
      <c r="D60" t="s">
        <v>240</v>
      </c>
      <c r="E60" t="s">
        <v>766</v>
      </c>
      <c r="G60" t="s">
        <v>716</v>
      </c>
      <c r="H60" s="300" t="str">
        <f>CHAR(39)</f>
        <v>'</v>
      </c>
      <c r="I60" t="str">
        <f>TRIM(SUBSTITUTE(D60,"'","''"))</f>
        <v>Vanida Inthivong</v>
      </c>
      <c r="J60" s="300" t="str">
        <f>CHAR(39)</f>
        <v>'</v>
      </c>
      <c r="K60" t="s">
        <v>717</v>
      </c>
      <c r="L60" s="300" t="str">
        <f>CHAR(39)</f>
        <v>'</v>
      </c>
      <c r="M60" t="str">
        <f>TRIM(E60)</f>
        <v>Main Building</v>
      </c>
      <c r="N60" s="300" t="str">
        <f>CHAR(39)</f>
        <v>'</v>
      </c>
      <c r="O60" t="s">
        <v>718</v>
      </c>
      <c r="P60" s="300" t="str">
        <f>CHAR(39)</f>
        <v>'</v>
      </c>
      <c r="Q60" t="str">
        <f>TRIM(SUBSTITUTE(IF(C60=0,"",C60),"'","''"))</f>
        <v>Bradley Waelbroeck</v>
      </c>
      <c r="R60" s="300" t="str">
        <f>CHAR(39)</f>
        <v>'</v>
      </c>
      <c r="S60" t="s">
        <v>719</v>
      </c>
      <c r="T60" s="300" t="str">
        <f>CHAR(39)</f>
        <v>'</v>
      </c>
      <c r="U60" t="str">
        <f>TRIM(SUBSTITUTE(A60,"'","''"))</f>
        <v>VEADA FURNITURE--BACK WAREHOUSE</v>
      </c>
      <c r="V60" s="300" t="str">
        <f>CHAR(39)</f>
        <v>'</v>
      </c>
      <c r="W60" t="s">
        <v>720</v>
      </c>
      <c r="X60">
        <f>IF(ISNUMBER(B60),B60,CHAR(39)&amp;TRIM(B60)&amp;CHAR(39))</f>
        <v>3032</v>
      </c>
      <c r="Z60" t="str">
        <f>_xlfn.CONCAT(G60:X60)</f>
        <v>update [dbo].[Inventory] Set [Auditor]  = 'Vanida Inthivong',[Building]  = 'Main Building',[Writer] = 'Bradley Waelbroeck',[AreaDesc] = 'VEADA FURNITURE--BACK WAREHOUSE' where [Area]=3032</v>
      </c>
      <c r="AB60" t="s">
        <v>783</v>
      </c>
    </row>
    <row r="61" spans="1:28">
      <c r="A61" t="s">
        <v>241</v>
      </c>
      <c r="B61">
        <v>3025</v>
      </c>
      <c r="C61" t="s">
        <v>238</v>
      </c>
      <c r="D61" t="s">
        <v>242</v>
      </c>
      <c r="E61" t="s">
        <v>766</v>
      </c>
      <c r="G61" t="s">
        <v>716</v>
      </c>
      <c r="H61" s="300" t="str">
        <f>CHAR(39)</f>
        <v>'</v>
      </c>
      <c r="I61" t="str">
        <f>TRIM(SUBSTITUTE(D61,"'","''"))</f>
        <v>Rob Hapner</v>
      </c>
      <c r="J61" s="300" t="str">
        <f>CHAR(39)</f>
        <v>'</v>
      </c>
      <c r="K61" t="s">
        <v>717</v>
      </c>
      <c r="L61" s="300" t="str">
        <f>CHAR(39)</f>
        <v>'</v>
      </c>
      <c r="M61" t="str">
        <f>TRIM(E61)</f>
        <v>Main Building</v>
      </c>
      <c r="N61" s="300" t="str">
        <f>CHAR(39)</f>
        <v>'</v>
      </c>
      <c r="O61" t="s">
        <v>718</v>
      </c>
      <c r="P61" s="300" t="str">
        <f>CHAR(39)</f>
        <v>'</v>
      </c>
      <c r="Q61" t="str">
        <f>TRIM(SUBSTITUTE(IF(C61=0,"",C61),"'","''"))</f>
        <v>Bradley Waelbroeck</v>
      </c>
      <c r="R61" s="300" t="str">
        <f>CHAR(39)</f>
        <v>'</v>
      </c>
      <c r="S61" t="s">
        <v>719</v>
      </c>
      <c r="T61" s="300" t="str">
        <f>CHAR(39)</f>
        <v>'</v>
      </c>
      <c r="U61" t="str">
        <f>TRIM(SUBSTITUTE(A61,"'","''"))</f>
        <v>FIBERGLASS SWINGBACK</v>
      </c>
      <c r="V61" s="300" t="str">
        <f>CHAR(39)</f>
        <v>'</v>
      </c>
      <c r="W61" t="s">
        <v>720</v>
      </c>
      <c r="X61">
        <f>IF(ISNUMBER(B61),B61,CHAR(39)&amp;TRIM(B61)&amp;CHAR(39))</f>
        <v>3025</v>
      </c>
      <c r="Z61" t="str">
        <f>_xlfn.CONCAT(G61:X61)</f>
        <v>update [dbo].[Inventory] Set [Auditor]  = 'Rob Hapner',[Building]  = 'Main Building',[Writer] = 'Bradley Waelbroeck',[AreaDesc] = 'FIBERGLASS SWINGBACK' where [Area]=3025</v>
      </c>
      <c r="AB61" t="s">
        <v>784</v>
      </c>
    </row>
    <row r="62" spans="1:28">
      <c r="A62" t="s">
        <v>243</v>
      </c>
      <c r="B62">
        <v>3026</v>
      </c>
      <c r="C62" t="s">
        <v>244</v>
      </c>
      <c r="D62" t="s">
        <v>246</v>
      </c>
      <c r="E62" t="s">
        <v>766</v>
      </c>
      <c r="G62" t="s">
        <v>716</v>
      </c>
      <c r="H62" s="300" t="str">
        <f>CHAR(39)</f>
        <v>'</v>
      </c>
      <c r="I62" t="str">
        <f>TRIM(SUBSTITUTE(D62,"'","''"))</f>
        <v>Chuck Coleman</v>
      </c>
      <c r="J62" s="300" t="str">
        <f>CHAR(39)</f>
        <v>'</v>
      </c>
      <c r="K62" t="s">
        <v>717</v>
      </c>
      <c r="L62" s="300" t="str">
        <f>CHAR(39)</f>
        <v>'</v>
      </c>
      <c r="M62" t="str">
        <f>TRIM(E62)</f>
        <v>Main Building</v>
      </c>
      <c r="N62" s="300" t="str">
        <f>CHAR(39)</f>
        <v>'</v>
      </c>
      <c r="O62" t="s">
        <v>718</v>
      </c>
      <c r="P62" s="300" t="str">
        <f>CHAR(39)</f>
        <v>'</v>
      </c>
      <c r="Q62" t="str">
        <f>TRIM(SUBSTITUTE(IF(C62=0,"",C62),"'","''"))</f>
        <v>Joyce Wysong</v>
      </c>
      <c r="R62" s="300" t="str">
        <f>CHAR(39)</f>
        <v>'</v>
      </c>
      <c r="S62" t="s">
        <v>719</v>
      </c>
      <c r="T62" s="300" t="str">
        <f>CHAR(39)</f>
        <v>'</v>
      </c>
      <c r="U62" t="str">
        <f>TRIM(SUBSTITUTE(A62,"'","''"))</f>
        <v>WAREHOUSE</v>
      </c>
      <c r="V62" s="300" t="str">
        <f>CHAR(39)</f>
        <v>'</v>
      </c>
      <c r="W62" t="s">
        <v>720</v>
      </c>
      <c r="X62">
        <f>IF(ISNUMBER(B62),B62,CHAR(39)&amp;TRIM(B62)&amp;CHAR(39))</f>
        <v>3026</v>
      </c>
      <c r="Z62" t="str">
        <f>_xlfn.CONCAT(G62:X62)</f>
        <v>update [dbo].[Inventory] Set [Auditor]  = 'Chuck Coleman',[Building]  = 'Main Building',[Writer] = 'Joyce Wysong',[AreaDesc] = 'WAREHOUSE' where [Area]=3026</v>
      </c>
      <c r="AB62" t="s">
        <v>785</v>
      </c>
    </row>
    <row r="63" spans="1:28">
      <c r="A63" t="s">
        <v>247</v>
      </c>
      <c r="B63">
        <v>3027</v>
      </c>
      <c r="C63" t="s">
        <v>248</v>
      </c>
      <c r="D63" t="s">
        <v>235</v>
      </c>
      <c r="E63" t="s">
        <v>766</v>
      </c>
      <c r="G63" t="s">
        <v>716</v>
      </c>
      <c r="H63" s="300" t="str">
        <f>CHAR(39)</f>
        <v>'</v>
      </c>
      <c r="I63" t="str">
        <f>TRIM(SUBSTITUTE(D63,"'","''"))</f>
        <v>Tony Tu</v>
      </c>
      <c r="J63" s="300" t="str">
        <f>CHAR(39)</f>
        <v>'</v>
      </c>
      <c r="K63" t="s">
        <v>717</v>
      </c>
      <c r="L63" s="300" t="str">
        <f>CHAR(39)</f>
        <v>'</v>
      </c>
      <c r="M63" t="str">
        <f>TRIM(E63)</f>
        <v>Main Building</v>
      </c>
      <c r="N63" s="300" t="str">
        <f>CHAR(39)</f>
        <v>'</v>
      </c>
      <c r="O63" t="s">
        <v>718</v>
      </c>
      <c r="P63" s="300" t="str">
        <f>CHAR(39)</f>
        <v>'</v>
      </c>
      <c r="Q63" t="str">
        <f>TRIM(SUBSTITUTE(IF(C63=0,"",C63),"'","''"))</f>
        <v>Vanida Unthivong</v>
      </c>
      <c r="R63" s="300" t="str">
        <f>CHAR(39)</f>
        <v>'</v>
      </c>
      <c r="S63" t="s">
        <v>719</v>
      </c>
      <c r="T63" s="300" t="str">
        <f>CHAR(39)</f>
        <v>'</v>
      </c>
      <c r="U63" t="str">
        <f>TRIM(SUBSTITUTE(A63,"'","''"))</f>
        <v>PRIVACY</v>
      </c>
      <c r="V63" s="300" t="str">
        <f>CHAR(39)</f>
        <v>'</v>
      </c>
      <c r="W63" t="s">
        <v>720</v>
      </c>
      <c r="X63">
        <f>IF(ISNUMBER(B63),B63,CHAR(39)&amp;TRIM(B63)&amp;CHAR(39))</f>
        <v>3027</v>
      </c>
      <c r="Z63" t="str">
        <f>_xlfn.CONCAT(G63:X63)</f>
        <v>update [dbo].[Inventory] Set [Auditor]  = 'Tony Tu',[Building]  = 'Main Building',[Writer] = 'Vanida Unthivong',[AreaDesc] = 'PRIVACY' where [Area]=3027</v>
      </c>
      <c r="AB63" t="s">
        <v>786</v>
      </c>
    </row>
    <row r="64" spans="1:28">
      <c r="A64" t="s">
        <v>250</v>
      </c>
      <c r="B64">
        <v>3028</v>
      </c>
      <c r="C64" t="s">
        <v>251</v>
      </c>
      <c r="D64" t="s">
        <v>253</v>
      </c>
      <c r="E64" t="s">
        <v>766</v>
      </c>
      <c r="G64" t="s">
        <v>716</v>
      </c>
      <c r="H64" s="300" t="str">
        <f>CHAR(39)</f>
        <v>'</v>
      </c>
      <c r="I64" t="str">
        <f>TRIM(SUBSTITUTE(D64,"'","''"))</f>
        <v>Christal Trosper</v>
      </c>
      <c r="J64" s="300" t="str">
        <f>CHAR(39)</f>
        <v>'</v>
      </c>
      <c r="K64" t="s">
        <v>717</v>
      </c>
      <c r="L64" s="300" t="str">
        <f>CHAR(39)</f>
        <v>'</v>
      </c>
      <c r="M64" t="str">
        <f>TRIM(E64)</f>
        <v>Main Building</v>
      </c>
      <c r="N64" s="300" t="str">
        <f>CHAR(39)</f>
        <v>'</v>
      </c>
      <c r="O64" t="s">
        <v>718</v>
      </c>
      <c r="P64" s="300" t="str">
        <f>CHAR(39)</f>
        <v>'</v>
      </c>
      <c r="Q64" t="str">
        <f>TRIM(SUBSTITUTE(IF(C64=0,"",C64),"'","''"))</f>
        <v>Cameron Kantz</v>
      </c>
      <c r="R64" s="300" t="str">
        <f>CHAR(39)</f>
        <v>'</v>
      </c>
      <c r="S64" t="s">
        <v>719</v>
      </c>
      <c r="T64" s="300" t="str">
        <f>CHAR(39)</f>
        <v>'</v>
      </c>
      <c r="U64" t="str">
        <f>TRIM(SUBSTITUTE(A64,"'","''"))</f>
        <v>FINAL/KITS</v>
      </c>
      <c r="V64" s="300" t="str">
        <f>CHAR(39)</f>
        <v>'</v>
      </c>
      <c r="W64" t="s">
        <v>720</v>
      </c>
      <c r="X64">
        <f>IF(ISNUMBER(B64),B64,CHAR(39)&amp;TRIM(B64)&amp;CHAR(39))</f>
        <v>3028</v>
      </c>
      <c r="Z64" t="str">
        <f>_xlfn.CONCAT(G64:X64)</f>
        <v>update [dbo].[Inventory] Set [Auditor]  = 'Christal Trosper',[Building]  = 'Main Building',[Writer] = 'Cameron Kantz',[AreaDesc] = 'FINAL/KITS' where [Area]=3028</v>
      </c>
      <c r="AB64" t="s">
        <v>787</v>
      </c>
    </row>
    <row r="65" spans="1:28">
      <c r="A65" t="s">
        <v>254</v>
      </c>
      <c r="B65">
        <v>3029</v>
      </c>
      <c r="C65" t="s">
        <v>240</v>
      </c>
      <c r="D65" t="s">
        <v>256</v>
      </c>
      <c r="E65" t="s">
        <v>766</v>
      </c>
      <c r="G65" t="s">
        <v>716</v>
      </c>
      <c r="H65" s="300" t="str">
        <f>CHAR(39)</f>
        <v>'</v>
      </c>
      <c r="I65" t="str">
        <f>TRIM(SUBSTITUTE(D65,"'","''"))</f>
        <v>Leybi Orellano</v>
      </c>
      <c r="J65" s="300" t="str">
        <f>CHAR(39)</f>
        <v>'</v>
      </c>
      <c r="K65" t="s">
        <v>717</v>
      </c>
      <c r="L65" s="300" t="str">
        <f>CHAR(39)</f>
        <v>'</v>
      </c>
      <c r="M65" t="str">
        <f>TRIM(E65)</f>
        <v>Main Building</v>
      </c>
      <c r="N65" s="300" t="str">
        <f>CHAR(39)</f>
        <v>'</v>
      </c>
      <c r="O65" t="s">
        <v>718</v>
      </c>
      <c r="P65" s="300" t="str">
        <f>CHAR(39)</f>
        <v>'</v>
      </c>
      <c r="Q65" t="str">
        <f>TRIM(SUBSTITUTE(IF(C65=0,"",C65),"'","''"))</f>
        <v>Vanida Inthivong</v>
      </c>
      <c r="R65" s="300" t="str">
        <f>CHAR(39)</f>
        <v>'</v>
      </c>
      <c r="S65" t="s">
        <v>719</v>
      </c>
      <c r="T65" s="300" t="str">
        <f>CHAR(39)</f>
        <v>'</v>
      </c>
      <c r="U65" t="str">
        <f>TRIM(SUBSTITUTE(A65,"'","''"))</f>
        <v>RECLINERS</v>
      </c>
      <c r="V65" s="300" t="str">
        <f>CHAR(39)</f>
        <v>'</v>
      </c>
      <c r="W65" t="s">
        <v>720</v>
      </c>
      <c r="X65">
        <f>IF(ISNUMBER(B65),B65,CHAR(39)&amp;TRIM(B65)&amp;CHAR(39))</f>
        <v>3029</v>
      </c>
      <c r="Z65" t="str">
        <f>_xlfn.CONCAT(G65:X65)</f>
        <v>update [dbo].[Inventory] Set [Auditor]  = 'Leybi Orellano',[Building]  = 'Main Building',[Writer] = 'Vanida Inthivong',[AreaDesc] = 'RECLINERS' where [Area]=3029</v>
      </c>
      <c r="AB65" t="s">
        <v>788</v>
      </c>
    </row>
    <row r="66" spans="1:28">
      <c r="A66" t="s">
        <v>257</v>
      </c>
      <c r="B66">
        <v>3031</v>
      </c>
      <c r="C66" t="s">
        <v>258</v>
      </c>
      <c r="D66" t="s">
        <v>260</v>
      </c>
      <c r="E66" t="s">
        <v>766</v>
      </c>
      <c r="G66" t="s">
        <v>716</v>
      </c>
      <c r="H66" s="300" t="str">
        <f>CHAR(39)</f>
        <v>'</v>
      </c>
      <c r="I66" t="str">
        <f>TRIM(SUBSTITUTE(D66,"'","''"))</f>
        <v>Destiny Smith/Tony Tu</v>
      </c>
      <c r="J66" s="300" t="str">
        <f>CHAR(39)</f>
        <v>'</v>
      </c>
      <c r="K66" t="s">
        <v>717</v>
      </c>
      <c r="L66" s="300" t="str">
        <f>CHAR(39)</f>
        <v>'</v>
      </c>
      <c r="M66" t="str">
        <f>TRIM(E66)</f>
        <v>Main Building</v>
      </c>
      <c r="N66" s="300" t="str">
        <f>CHAR(39)</f>
        <v>'</v>
      </c>
      <c r="O66" t="s">
        <v>718</v>
      </c>
      <c r="P66" s="300" t="str">
        <f>CHAR(39)</f>
        <v>'</v>
      </c>
      <c r="Q66" t="str">
        <f>TRIM(SUBSTITUTE(IF(C66=0,"",C66),"'","''"))</f>
        <v>Diana Sourevong/Traci Rader</v>
      </c>
      <c r="R66" s="300" t="str">
        <f>CHAR(39)</f>
        <v>'</v>
      </c>
      <c r="S66" t="s">
        <v>719</v>
      </c>
      <c r="T66" s="300" t="str">
        <f>CHAR(39)</f>
        <v>'</v>
      </c>
      <c r="U66" t="str">
        <f>TRIM(SUBSTITUTE(A66,"'","''"))</f>
        <v>VEADA FURNITURE--MID</v>
      </c>
      <c r="V66" s="300" t="str">
        <f>CHAR(39)</f>
        <v>'</v>
      </c>
      <c r="W66" t="s">
        <v>720</v>
      </c>
      <c r="X66">
        <f>IF(ISNUMBER(B66),B66,CHAR(39)&amp;TRIM(B66)&amp;CHAR(39))</f>
        <v>3031</v>
      </c>
      <c r="Z66" t="str">
        <f>_xlfn.CONCAT(G66:X66)</f>
        <v>update [dbo].[Inventory] Set [Auditor]  = 'Destiny Smith/Tony Tu',[Building]  = 'Main Building',[Writer] = 'Diana Sourevong/Traci Rader',[AreaDesc] = 'VEADA FURNITURE--MID' where [Area]=3031</v>
      </c>
      <c r="AB66" t="s">
        <v>789</v>
      </c>
    </row>
    <row r="67" spans="1:28">
      <c r="A67" t="s">
        <v>257</v>
      </c>
      <c r="B67" t="s">
        <v>261</v>
      </c>
      <c r="C67" t="s">
        <v>259</v>
      </c>
      <c r="D67" t="s">
        <v>256</v>
      </c>
      <c r="E67" t="s">
        <v>766</v>
      </c>
      <c r="G67" t="s">
        <v>716</v>
      </c>
      <c r="H67" s="300" t="str">
        <f>CHAR(39)</f>
        <v>'</v>
      </c>
      <c r="I67" t="str">
        <f>TRIM(SUBSTITUTE(D67,"'","''"))</f>
        <v>Leybi Orellano</v>
      </c>
      <c r="J67" s="300" t="str">
        <f>CHAR(39)</f>
        <v>'</v>
      </c>
      <c r="K67" t="s">
        <v>717</v>
      </c>
      <c r="L67" s="300" t="str">
        <f>CHAR(39)</f>
        <v>'</v>
      </c>
      <c r="M67" t="str">
        <f>TRIM(E67)</f>
        <v>Main Building</v>
      </c>
      <c r="N67" s="300" t="str">
        <f>CHAR(39)</f>
        <v>'</v>
      </c>
      <c r="O67" t="s">
        <v>718</v>
      </c>
      <c r="P67" s="300" t="str">
        <f>CHAR(39)</f>
        <v>'</v>
      </c>
      <c r="Q67" t="str">
        <f>TRIM(SUBSTITUTE(IF(C67=0,"",C67),"'","''"))</f>
        <v>Ray Hernandez</v>
      </c>
      <c r="R67" s="300" t="str">
        <f>CHAR(39)</f>
        <v>'</v>
      </c>
      <c r="S67" t="s">
        <v>719</v>
      </c>
      <c r="T67" s="300" t="str">
        <f>CHAR(39)</f>
        <v>'</v>
      </c>
      <c r="U67" t="str">
        <f>TRIM(SUBSTITUTE(A67,"'","''"))</f>
        <v>VEADA FURNITURE--MID</v>
      </c>
      <c r="V67" s="300" t="str">
        <f>CHAR(39)</f>
        <v>'</v>
      </c>
      <c r="W67" t="s">
        <v>720</v>
      </c>
      <c r="X67" t="str">
        <f>IF(ISNUMBER(B67),B67,CHAR(39)&amp;TRIM(B67)&amp;CHAR(39))</f>
        <v>'3031 TAGS'</v>
      </c>
      <c r="Z67" t="str">
        <f>_xlfn.CONCAT(G67:X67)</f>
        <v>update [dbo].[Inventory] Set [Auditor]  = 'Leybi Orellano',[Building]  = 'Main Building',[Writer] = 'Ray Hernandez',[AreaDesc] = 'VEADA FURNITURE--MID' where [Area]='3031 TAGS'</v>
      </c>
      <c r="AB67" t="s">
        <v>790</v>
      </c>
    </row>
    <row r="68" spans="1:28">
      <c r="A68" t="s">
        <v>263</v>
      </c>
      <c r="B68">
        <v>3035</v>
      </c>
      <c r="C68" t="s">
        <v>264</v>
      </c>
      <c r="D68" t="s">
        <v>266</v>
      </c>
      <c r="E68" t="s">
        <v>766</v>
      </c>
      <c r="G68" t="s">
        <v>716</v>
      </c>
      <c r="H68" s="300" t="str">
        <f>CHAR(39)</f>
        <v>'</v>
      </c>
      <c r="I68" t="str">
        <f>TRIM(SUBSTITUTE(D68,"'","''"))</f>
        <v>Justin Staufenbeil</v>
      </c>
      <c r="J68" s="300" t="str">
        <f>CHAR(39)</f>
        <v>'</v>
      </c>
      <c r="K68" t="s">
        <v>717</v>
      </c>
      <c r="L68" s="300" t="str">
        <f>CHAR(39)</f>
        <v>'</v>
      </c>
      <c r="M68" t="str">
        <f>TRIM(E68)</f>
        <v>Main Building</v>
      </c>
      <c r="N68" s="300" t="str">
        <f>CHAR(39)</f>
        <v>'</v>
      </c>
      <c r="O68" t="s">
        <v>718</v>
      </c>
      <c r="P68" s="300" t="str">
        <f>CHAR(39)</f>
        <v>'</v>
      </c>
      <c r="Q68" t="str">
        <f>TRIM(SUBSTITUTE(IF(C68=0,"",C68),"'","''"))</f>
        <v>Ken Thammavongsa</v>
      </c>
      <c r="R68" s="300" t="str">
        <f>CHAR(39)</f>
        <v>'</v>
      </c>
      <c r="S68" t="s">
        <v>719</v>
      </c>
      <c r="T68" s="300" t="str">
        <f>CHAR(39)</f>
        <v>'</v>
      </c>
      <c r="U68" t="str">
        <f>TRIM(SUBSTITUTE(A68,"'","''"))</f>
        <v>KITTING SPEAKERS/MISC</v>
      </c>
      <c r="V68" s="300" t="str">
        <f>CHAR(39)</f>
        <v>'</v>
      </c>
      <c r="W68" t="s">
        <v>720</v>
      </c>
      <c r="X68">
        <f>IF(ISNUMBER(B68),B68,CHAR(39)&amp;TRIM(B68)&amp;CHAR(39))</f>
        <v>3035</v>
      </c>
      <c r="Z68" t="str">
        <f>_xlfn.CONCAT(G68:X68)</f>
        <v>update [dbo].[Inventory] Set [Auditor]  = 'Justin Staufenbeil',[Building]  = 'Main Building',[Writer] = 'Ken Thammavongsa',[AreaDesc] = 'KITTING SPEAKERS/MISC' where [Area]=3035</v>
      </c>
      <c r="AB68" t="s">
        <v>791</v>
      </c>
    </row>
    <row r="69" spans="1:28">
      <c r="A69" t="s">
        <v>267</v>
      </c>
      <c r="B69">
        <v>3036</v>
      </c>
      <c r="C69" t="s">
        <v>268</v>
      </c>
      <c r="D69" t="s">
        <v>270</v>
      </c>
      <c r="E69" t="s">
        <v>766</v>
      </c>
      <c r="G69" t="s">
        <v>716</v>
      </c>
      <c r="H69" s="300" t="str">
        <f>CHAR(39)</f>
        <v>'</v>
      </c>
      <c r="I69" t="str">
        <f>TRIM(SUBSTITUTE(D69,"'","''"))</f>
        <v>Samara Ritchie</v>
      </c>
      <c r="J69" s="300" t="str">
        <f>CHAR(39)</f>
        <v>'</v>
      </c>
      <c r="K69" t="s">
        <v>717</v>
      </c>
      <c r="L69" s="300" t="str">
        <f>CHAR(39)</f>
        <v>'</v>
      </c>
      <c r="M69" t="str">
        <f>TRIM(E69)</f>
        <v>Main Building</v>
      </c>
      <c r="N69" s="300" t="str">
        <f>CHAR(39)</f>
        <v>'</v>
      </c>
      <c r="O69" t="s">
        <v>718</v>
      </c>
      <c r="P69" s="300" t="str">
        <f>CHAR(39)</f>
        <v>'</v>
      </c>
      <c r="Q69" t="str">
        <f>TRIM(SUBSTITUTE(IF(C69=0,"",C69),"'","''"))</f>
        <v>Amberlee Baker</v>
      </c>
      <c r="R69" s="300" t="str">
        <f>CHAR(39)</f>
        <v>'</v>
      </c>
      <c r="S69" t="s">
        <v>719</v>
      </c>
      <c r="T69" s="300" t="str">
        <f>CHAR(39)</f>
        <v>'</v>
      </c>
      <c r="U69" t="str">
        <f>TRIM(SUBSTITUTE(A69,"'","''"))</f>
        <v>MISC.</v>
      </c>
      <c r="V69" s="300" t="str">
        <f>CHAR(39)</f>
        <v>'</v>
      </c>
      <c r="W69" t="s">
        <v>720</v>
      </c>
      <c r="X69">
        <f>IF(ISNUMBER(B69),B69,CHAR(39)&amp;TRIM(B69)&amp;CHAR(39))</f>
        <v>3036</v>
      </c>
      <c r="Z69" t="str">
        <f>_xlfn.CONCAT(G69:X69)</f>
        <v>update [dbo].[Inventory] Set [Auditor]  = 'Samara Ritchie',[Building]  = 'Main Building',[Writer] = 'Amberlee Baker',[AreaDesc] = 'MISC.' where [Area]=3036</v>
      </c>
      <c r="AB69" t="s">
        <v>792</v>
      </c>
    </row>
    <row r="70" spans="1:28">
      <c r="A70" t="s">
        <v>275</v>
      </c>
      <c r="B70">
        <v>3037</v>
      </c>
      <c r="C70" t="s">
        <v>276</v>
      </c>
      <c r="D70" t="s">
        <v>278</v>
      </c>
      <c r="E70" t="s">
        <v>766</v>
      </c>
      <c r="G70" t="s">
        <v>716</v>
      </c>
      <c r="H70" s="300" t="str">
        <f>CHAR(39)</f>
        <v>'</v>
      </c>
      <c r="I70" t="str">
        <f>TRIM(SUBSTITUTE(D70,"'","''"))</f>
        <v>Todd Jamison</v>
      </c>
      <c r="J70" s="300" t="str">
        <f>CHAR(39)</f>
        <v>'</v>
      </c>
      <c r="K70" t="s">
        <v>717</v>
      </c>
      <c r="L70" s="300" t="str">
        <f>CHAR(39)</f>
        <v>'</v>
      </c>
      <c r="M70" t="str">
        <f>TRIM(E70)</f>
        <v>Main Building</v>
      </c>
      <c r="N70" s="300" t="str">
        <f>CHAR(39)</f>
        <v>'</v>
      </c>
      <c r="O70" t="s">
        <v>718</v>
      </c>
      <c r="P70" s="300" t="str">
        <f>CHAR(39)</f>
        <v>'</v>
      </c>
      <c r="Q70" t="str">
        <f>TRIM(SUBSTITUTE(IF(C70=0,"",C70),"'","''"))</f>
        <v>Erika Perez Montiel</v>
      </c>
      <c r="R70" s="300" t="str">
        <f>CHAR(39)</f>
        <v>'</v>
      </c>
      <c r="S70" t="s">
        <v>719</v>
      </c>
      <c r="T70" s="300" t="str">
        <f>CHAR(39)</f>
        <v>'</v>
      </c>
      <c r="U70" t="str">
        <f>TRIM(SUBSTITUTE(A70,"'","''"))</f>
        <v>MISC.</v>
      </c>
      <c r="V70" s="300" t="str">
        <f>CHAR(39)</f>
        <v>'</v>
      </c>
      <c r="W70" t="s">
        <v>720</v>
      </c>
      <c r="X70">
        <f>IF(ISNUMBER(B70),B70,CHAR(39)&amp;TRIM(B70)&amp;CHAR(39))</f>
        <v>3037</v>
      </c>
      <c r="Z70" t="str">
        <f>_xlfn.CONCAT(G70:X70)</f>
        <v>update [dbo].[Inventory] Set [Auditor]  = 'Todd Jamison',[Building]  = 'Main Building',[Writer] = 'Erika Perez Montiel',[AreaDesc] = 'MISC.' where [Area]=3037</v>
      </c>
      <c r="AB70" t="s">
        <v>793</v>
      </c>
    </row>
    <row r="71" spans="1:28">
      <c r="A71" t="s">
        <v>279</v>
      </c>
      <c r="B71">
        <v>3038</v>
      </c>
      <c r="C71" t="s">
        <v>280</v>
      </c>
      <c r="D71" t="s">
        <v>282</v>
      </c>
      <c r="E71" t="s">
        <v>766</v>
      </c>
      <c r="G71" t="s">
        <v>716</v>
      </c>
      <c r="H71" s="300" t="str">
        <f>CHAR(39)</f>
        <v>'</v>
      </c>
      <c r="I71" t="str">
        <f>TRIM(SUBSTITUTE(D71,"'","''"))</f>
        <v>Julia Grove</v>
      </c>
      <c r="J71" s="300" t="str">
        <f>CHAR(39)</f>
        <v>'</v>
      </c>
      <c r="K71" t="s">
        <v>717</v>
      </c>
      <c r="L71" s="300" t="str">
        <f>CHAR(39)</f>
        <v>'</v>
      </c>
      <c r="M71" t="str">
        <f>TRIM(E71)</f>
        <v>Main Building</v>
      </c>
      <c r="N71" s="300" t="str">
        <f>CHAR(39)</f>
        <v>'</v>
      </c>
      <c r="O71" t="s">
        <v>718</v>
      </c>
      <c r="P71" s="300" t="str">
        <f>CHAR(39)</f>
        <v>'</v>
      </c>
      <c r="Q71" t="str">
        <f>TRIM(SUBSTITUTE(IF(C71=0,"",C71),"'","''"))</f>
        <v>Isaac Aguilar</v>
      </c>
      <c r="R71" s="300" t="str">
        <f>CHAR(39)</f>
        <v>'</v>
      </c>
      <c r="S71" t="s">
        <v>719</v>
      </c>
      <c r="T71" s="300" t="str">
        <f>CHAR(39)</f>
        <v>'</v>
      </c>
      <c r="U71" t="str">
        <f>TRIM(SUBSTITUTE(A71,"'","''"))</f>
        <v>KIT PARTS AISLE</v>
      </c>
      <c r="V71" s="300" t="str">
        <f>CHAR(39)</f>
        <v>'</v>
      </c>
      <c r="W71" t="s">
        <v>720</v>
      </c>
      <c r="X71">
        <f>IF(ISNUMBER(B71),B71,CHAR(39)&amp;TRIM(B71)&amp;CHAR(39))</f>
        <v>3038</v>
      </c>
      <c r="Z71" t="str">
        <f>_xlfn.CONCAT(G71:X71)</f>
        <v>update [dbo].[Inventory] Set [Auditor]  = 'Julia Grove',[Building]  = 'Main Building',[Writer] = 'Isaac Aguilar',[AreaDesc] = 'KIT PARTS AISLE' where [Area]=3038</v>
      </c>
      <c r="AB71" t="s">
        <v>794</v>
      </c>
    </row>
    <row r="72" spans="1:28">
      <c r="A72" t="s">
        <v>279</v>
      </c>
      <c r="B72">
        <v>3039</v>
      </c>
      <c r="C72" t="s">
        <v>280</v>
      </c>
      <c r="D72" t="s">
        <v>282</v>
      </c>
      <c r="E72" t="s">
        <v>766</v>
      </c>
      <c r="G72" t="s">
        <v>716</v>
      </c>
      <c r="H72" s="300" t="str">
        <f>CHAR(39)</f>
        <v>'</v>
      </c>
      <c r="I72" t="str">
        <f>TRIM(SUBSTITUTE(D72,"'","''"))</f>
        <v>Julia Grove</v>
      </c>
      <c r="J72" s="300" t="str">
        <f>CHAR(39)</f>
        <v>'</v>
      </c>
      <c r="K72" t="s">
        <v>717</v>
      </c>
      <c r="L72" s="300" t="str">
        <f>CHAR(39)</f>
        <v>'</v>
      </c>
      <c r="M72" t="str">
        <f>TRIM(E72)</f>
        <v>Main Building</v>
      </c>
      <c r="N72" s="300" t="str">
        <f>CHAR(39)</f>
        <v>'</v>
      </c>
      <c r="O72" t="s">
        <v>718</v>
      </c>
      <c r="P72" s="300" t="str">
        <f>CHAR(39)</f>
        <v>'</v>
      </c>
      <c r="Q72" t="str">
        <f>TRIM(SUBSTITUTE(IF(C72=0,"",C72),"'","''"))</f>
        <v>Isaac Aguilar</v>
      </c>
      <c r="R72" s="300" t="str">
        <f>CHAR(39)</f>
        <v>'</v>
      </c>
      <c r="S72" t="s">
        <v>719</v>
      </c>
      <c r="T72" s="300" t="str">
        <f>CHAR(39)</f>
        <v>'</v>
      </c>
      <c r="U72" t="str">
        <f>TRIM(SUBSTITUTE(A72,"'","''"))</f>
        <v>KIT PARTS AISLE</v>
      </c>
      <c r="V72" s="300" t="str">
        <f>CHAR(39)</f>
        <v>'</v>
      </c>
      <c r="W72" t="s">
        <v>720</v>
      </c>
      <c r="X72">
        <f>IF(ISNUMBER(B72),B72,CHAR(39)&amp;TRIM(B72)&amp;CHAR(39))</f>
        <v>3039</v>
      </c>
      <c r="Z72" t="str">
        <f>_xlfn.CONCAT(G72:X72)</f>
        <v>update [dbo].[Inventory] Set [Auditor]  = 'Julia Grove',[Building]  = 'Main Building',[Writer] = 'Isaac Aguilar',[AreaDesc] = 'KIT PARTS AISLE' where [Area]=3039</v>
      </c>
      <c r="AB72" t="s">
        <v>795</v>
      </c>
    </row>
    <row r="73" spans="1:28">
      <c r="A73" t="s">
        <v>284</v>
      </c>
      <c r="B73">
        <v>3040</v>
      </c>
      <c r="C73" t="s">
        <v>285</v>
      </c>
      <c r="D73" t="s">
        <v>287</v>
      </c>
      <c r="E73" t="s">
        <v>766</v>
      </c>
      <c r="G73" t="s">
        <v>716</v>
      </c>
      <c r="H73" s="300" t="str">
        <f>CHAR(39)</f>
        <v>'</v>
      </c>
      <c r="I73" t="str">
        <f>TRIM(SUBSTITUTE(D73,"'","''"))</f>
        <v>Seth Baldridge</v>
      </c>
      <c r="J73" s="300" t="str">
        <f>CHAR(39)</f>
        <v>'</v>
      </c>
      <c r="K73" t="s">
        <v>717</v>
      </c>
      <c r="L73" s="300" t="str">
        <f>CHAR(39)</f>
        <v>'</v>
      </c>
      <c r="M73" t="str">
        <f>TRIM(E73)</f>
        <v>Main Building</v>
      </c>
      <c r="N73" s="300" t="str">
        <f>CHAR(39)</f>
        <v>'</v>
      </c>
      <c r="O73" t="s">
        <v>718</v>
      </c>
      <c r="P73" s="300" t="str">
        <f>CHAR(39)</f>
        <v>'</v>
      </c>
      <c r="Q73" t="str">
        <f>TRIM(SUBSTITUTE(IF(C73=0,"",C73),"'","''"))</f>
        <v>Jefferson Granados</v>
      </c>
      <c r="R73" s="300" t="str">
        <f>CHAR(39)</f>
        <v>'</v>
      </c>
      <c r="S73" t="s">
        <v>719</v>
      </c>
      <c r="T73" s="300" t="str">
        <f>CHAR(39)</f>
        <v>'</v>
      </c>
      <c r="U73" t="str">
        <f>TRIM(SUBSTITUTE(A73,"'","''"))</f>
        <v>MARINE FASTENERS AREA</v>
      </c>
      <c r="V73" s="300" t="str">
        <f>CHAR(39)</f>
        <v>'</v>
      </c>
      <c r="W73" t="s">
        <v>720</v>
      </c>
      <c r="X73">
        <f>IF(ISNUMBER(B73),B73,CHAR(39)&amp;TRIM(B73)&amp;CHAR(39))</f>
        <v>3040</v>
      </c>
      <c r="Z73" t="str">
        <f>_xlfn.CONCAT(G73:X73)</f>
        <v>update [dbo].[Inventory] Set [Auditor]  = 'Seth Baldridge',[Building]  = 'Main Building',[Writer] = 'Jefferson Granados',[AreaDesc] = 'MARINE FASTENERS AREA' where [Area]=3040</v>
      </c>
      <c r="AB73" t="s">
        <v>796</v>
      </c>
    </row>
    <row r="74" spans="1:28">
      <c r="A74" t="s">
        <v>279</v>
      </c>
      <c r="B74">
        <v>3041</v>
      </c>
      <c r="C74" t="s">
        <v>288</v>
      </c>
      <c r="D74" t="s">
        <v>290</v>
      </c>
      <c r="E74" t="s">
        <v>766</v>
      </c>
      <c r="G74" t="s">
        <v>716</v>
      </c>
      <c r="H74" s="300" t="str">
        <f>CHAR(39)</f>
        <v>'</v>
      </c>
      <c r="I74" t="str">
        <f>TRIM(SUBSTITUTE(D74,"'","''"))</f>
        <v>Jimmy Brown</v>
      </c>
      <c r="J74" s="300" t="str">
        <f>CHAR(39)</f>
        <v>'</v>
      </c>
      <c r="K74" t="s">
        <v>717</v>
      </c>
      <c r="L74" s="300" t="str">
        <f>CHAR(39)</f>
        <v>'</v>
      </c>
      <c r="M74" t="str">
        <f>TRIM(E74)</f>
        <v>Main Building</v>
      </c>
      <c r="N74" s="300" t="str">
        <f>CHAR(39)</f>
        <v>'</v>
      </c>
      <c r="O74" t="s">
        <v>718</v>
      </c>
      <c r="P74" s="300" t="str">
        <f>CHAR(39)</f>
        <v>'</v>
      </c>
      <c r="Q74" t="str">
        <f>TRIM(SUBSTITUTE(IF(C74=0,"",C74),"'","''"))</f>
        <v>Sierra Sibley</v>
      </c>
      <c r="R74" s="300" t="str">
        <f>CHAR(39)</f>
        <v>'</v>
      </c>
      <c r="S74" t="s">
        <v>719</v>
      </c>
      <c r="T74" s="300" t="str">
        <f>CHAR(39)</f>
        <v>'</v>
      </c>
      <c r="U74" t="str">
        <f>TRIM(SUBSTITUTE(A74,"'","''"))</f>
        <v>KIT PARTS AISLE</v>
      </c>
      <c r="V74" s="300" t="str">
        <f>CHAR(39)</f>
        <v>'</v>
      </c>
      <c r="W74" t="s">
        <v>720</v>
      </c>
      <c r="X74">
        <f>IF(ISNUMBER(B74),B74,CHAR(39)&amp;TRIM(B74)&amp;CHAR(39))</f>
        <v>3041</v>
      </c>
      <c r="Z74" t="str">
        <f>_xlfn.CONCAT(G74:X74)</f>
        <v>update [dbo].[Inventory] Set [Auditor]  = 'Jimmy Brown',[Building]  = 'Main Building',[Writer] = 'Sierra Sibley',[AreaDesc] = 'KIT PARTS AISLE' where [Area]=3041</v>
      </c>
      <c r="AB74" t="s">
        <v>797</v>
      </c>
    </row>
    <row r="75" spans="1:28">
      <c r="A75" t="s">
        <v>291</v>
      </c>
      <c r="B75">
        <v>3042</v>
      </c>
      <c r="C75" t="s">
        <v>276</v>
      </c>
      <c r="D75" t="s">
        <v>278</v>
      </c>
      <c r="E75" t="s">
        <v>766</v>
      </c>
      <c r="G75" t="s">
        <v>716</v>
      </c>
      <c r="H75" s="300" t="str">
        <f>CHAR(39)</f>
        <v>'</v>
      </c>
      <c r="I75" t="str">
        <f>TRIM(SUBSTITUTE(D75,"'","''"))</f>
        <v>Todd Jamison</v>
      </c>
      <c r="J75" s="300" t="str">
        <f>CHAR(39)</f>
        <v>'</v>
      </c>
      <c r="K75" t="s">
        <v>717</v>
      </c>
      <c r="L75" s="300" t="str">
        <f>CHAR(39)</f>
        <v>'</v>
      </c>
      <c r="M75" t="str">
        <f>TRIM(E75)</f>
        <v>Main Building</v>
      </c>
      <c r="N75" s="300" t="str">
        <f>CHAR(39)</f>
        <v>'</v>
      </c>
      <c r="O75" t="s">
        <v>718</v>
      </c>
      <c r="P75" s="300" t="str">
        <f>CHAR(39)</f>
        <v>'</v>
      </c>
      <c r="Q75" t="str">
        <f>TRIM(SUBSTITUTE(IF(C75=0,"",C75),"'","''"))</f>
        <v>Erika Perez Montiel</v>
      </c>
      <c r="R75" s="300" t="str">
        <f>CHAR(39)</f>
        <v>'</v>
      </c>
      <c r="S75" t="s">
        <v>719</v>
      </c>
      <c r="T75" s="300" t="str">
        <f>CHAR(39)</f>
        <v>'</v>
      </c>
      <c r="U75" t="str">
        <f>TRIM(SUBSTITUTE(A75,"'","''"))</f>
        <v>KITING MISC</v>
      </c>
      <c r="V75" s="300" t="str">
        <f>CHAR(39)</f>
        <v>'</v>
      </c>
      <c r="W75" t="s">
        <v>720</v>
      </c>
      <c r="X75">
        <f>IF(ISNUMBER(B75),B75,CHAR(39)&amp;TRIM(B75)&amp;CHAR(39))</f>
        <v>3042</v>
      </c>
      <c r="Z75" t="str">
        <f>_xlfn.CONCAT(G75:X75)</f>
        <v>update [dbo].[Inventory] Set [Auditor]  = 'Todd Jamison',[Building]  = 'Main Building',[Writer] = 'Erika Perez Montiel',[AreaDesc] = 'KITING MISC' where [Area]=3042</v>
      </c>
      <c r="AB75" t="s">
        <v>798</v>
      </c>
    </row>
    <row r="76" spans="1:28">
      <c r="A76" t="s">
        <v>292</v>
      </c>
      <c r="B76">
        <v>3043</v>
      </c>
      <c r="C76" t="s">
        <v>244</v>
      </c>
      <c r="D76" t="s">
        <v>246</v>
      </c>
      <c r="E76" t="s">
        <v>766</v>
      </c>
      <c r="G76" t="s">
        <v>716</v>
      </c>
      <c r="H76" s="300" t="str">
        <f>CHAR(39)</f>
        <v>'</v>
      </c>
      <c r="I76" t="str">
        <f>TRIM(SUBSTITUTE(D76,"'","''"))</f>
        <v>Chuck Coleman</v>
      </c>
      <c r="J76" s="300" t="str">
        <f>CHAR(39)</f>
        <v>'</v>
      </c>
      <c r="K76" t="s">
        <v>717</v>
      </c>
      <c r="L76" s="300" t="str">
        <f>CHAR(39)</f>
        <v>'</v>
      </c>
      <c r="M76" t="str">
        <f>TRIM(E76)</f>
        <v>Main Building</v>
      </c>
      <c r="N76" s="300" t="str">
        <f>CHAR(39)</f>
        <v>'</v>
      </c>
      <c r="O76" t="s">
        <v>718</v>
      </c>
      <c r="P76" s="300" t="str">
        <f>CHAR(39)</f>
        <v>'</v>
      </c>
      <c r="Q76" t="str">
        <f>TRIM(SUBSTITUTE(IF(C76=0,"",C76),"'","''"))</f>
        <v>Joyce Wysong</v>
      </c>
      <c r="R76" s="300" t="str">
        <f>CHAR(39)</f>
        <v>'</v>
      </c>
      <c r="S76" t="s">
        <v>719</v>
      </c>
      <c r="T76" s="300" t="str">
        <f>CHAR(39)</f>
        <v>'</v>
      </c>
      <c r="U76" t="str">
        <f>TRIM(SUBSTITUTE(A76,"'","''"))</f>
        <v>CARPET/LADDERS/PLYWOOD</v>
      </c>
      <c r="V76" s="300" t="str">
        <f>CHAR(39)</f>
        <v>'</v>
      </c>
      <c r="W76" t="s">
        <v>720</v>
      </c>
      <c r="X76">
        <f>IF(ISNUMBER(B76),B76,CHAR(39)&amp;TRIM(B76)&amp;CHAR(39))</f>
        <v>3043</v>
      </c>
      <c r="Z76" t="str">
        <f>_xlfn.CONCAT(G76:X76)</f>
        <v>update [dbo].[Inventory] Set [Auditor]  = 'Chuck Coleman',[Building]  = 'Main Building',[Writer] = 'Joyce Wysong',[AreaDesc] = 'CARPET/LADDERS/PLYWOOD' where [Area]=3043</v>
      </c>
      <c r="AB76" t="s">
        <v>799</v>
      </c>
    </row>
    <row r="77" spans="1:28">
      <c r="A77" t="s">
        <v>293</v>
      </c>
      <c r="B77">
        <v>3044</v>
      </c>
      <c r="C77" t="s">
        <v>294</v>
      </c>
      <c r="D77" t="s">
        <v>246</v>
      </c>
      <c r="E77" t="s">
        <v>766</v>
      </c>
      <c r="G77" t="s">
        <v>716</v>
      </c>
      <c r="H77" s="300" t="str">
        <f>CHAR(39)</f>
        <v>'</v>
      </c>
      <c r="I77" t="str">
        <f>TRIM(SUBSTITUTE(D77,"'","''"))</f>
        <v>Chuck Coleman</v>
      </c>
      <c r="J77" s="300" t="str">
        <f>CHAR(39)</f>
        <v>'</v>
      </c>
      <c r="K77" t="s">
        <v>717</v>
      </c>
      <c r="L77" s="300" t="str">
        <f>CHAR(39)</f>
        <v>'</v>
      </c>
      <c r="M77" t="str">
        <f>TRIM(E77)</f>
        <v>Main Building</v>
      </c>
      <c r="N77" s="300" t="str">
        <f>CHAR(39)</f>
        <v>'</v>
      </c>
      <c r="O77" t="s">
        <v>718</v>
      </c>
      <c r="P77" s="300" t="str">
        <f>CHAR(39)</f>
        <v>'</v>
      </c>
      <c r="Q77" t="str">
        <f>TRIM(SUBSTITUTE(IF(C77=0,"",C77),"'","''"))</f>
        <v>Serena Edwards</v>
      </c>
      <c r="R77" s="300" t="str">
        <f>CHAR(39)</f>
        <v>'</v>
      </c>
      <c r="S77" t="s">
        <v>719</v>
      </c>
      <c r="T77" s="300" t="str">
        <f>CHAR(39)</f>
        <v>'</v>
      </c>
      <c r="U77" t="str">
        <f>TRIM(SUBSTITUTE(A77,"'","''"))</f>
        <v>DOCK/OUTSIDE</v>
      </c>
      <c r="V77" s="300" t="str">
        <f>CHAR(39)</f>
        <v>'</v>
      </c>
      <c r="W77" t="s">
        <v>720</v>
      </c>
      <c r="X77">
        <f>IF(ISNUMBER(B77),B77,CHAR(39)&amp;TRIM(B77)&amp;CHAR(39))</f>
        <v>3044</v>
      </c>
      <c r="Z77" t="str">
        <f>_xlfn.CONCAT(G77:X77)</f>
        <v>update [dbo].[Inventory] Set [Auditor]  = 'Chuck Coleman',[Building]  = 'Main Building',[Writer] = 'Serena Edwards',[AreaDesc] = 'DOCK/OUTSIDE' where [Area]=3044</v>
      </c>
      <c r="AB77" t="s">
        <v>800</v>
      </c>
    </row>
    <row r="78" spans="1:28">
      <c r="A78" t="s">
        <v>296</v>
      </c>
      <c r="B78">
        <v>3045</v>
      </c>
      <c r="C78" t="s">
        <v>297</v>
      </c>
      <c r="D78" t="s">
        <v>242</v>
      </c>
      <c r="E78" t="s">
        <v>766</v>
      </c>
      <c r="G78" t="s">
        <v>716</v>
      </c>
      <c r="H78" s="300" t="str">
        <f>CHAR(39)</f>
        <v>'</v>
      </c>
      <c r="I78" t="str">
        <f>TRIM(SUBSTITUTE(D78,"'","''"))</f>
        <v>Rob Hapner</v>
      </c>
      <c r="J78" s="300" t="str">
        <f>CHAR(39)</f>
        <v>'</v>
      </c>
      <c r="K78" t="s">
        <v>717</v>
      </c>
      <c r="L78" s="300" t="str">
        <f>CHAR(39)</f>
        <v>'</v>
      </c>
      <c r="M78" t="str">
        <f>TRIM(E78)</f>
        <v>Main Building</v>
      </c>
      <c r="N78" s="300" t="str">
        <f>CHAR(39)</f>
        <v>'</v>
      </c>
      <c r="O78" t="s">
        <v>718</v>
      </c>
      <c r="P78" s="300" t="str">
        <f>CHAR(39)</f>
        <v>'</v>
      </c>
      <c r="Q78" t="str">
        <f>TRIM(SUBSTITUTE(IF(C78=0,"",C78),"'","''"))</f>
        <v>Tacoryrieo Edwards</v>
      </c>
      <c r="R78" s="300" t="str">
        <f>CHAR(39)</f>
        <v>'</v>
      </c>
      <c r="S78" t="s">
        <v>719</v>
      </c>
      <c r="T78" s="300" t="str">
        <f>CHAR(39)</f>
        <v>'</v>
      </c>
      <c r="U78" t="str">
        <f>TRIM(SUBSTITUTE(A78,"'","''"))</f>
        <v>SWINGBACK</v>
      </c>
      <c r="V78" s="300" t="str">
        <f>CHAR(39)</f>
        <v>'</v>
      </c>
      <c r="W78" t="s">
        <v>720</v>
      </c>
      <c r="X78">
        <f>IF(ISNUMBER(B78),B78,CHAR(39)&amp;TRIM(B78)&amp;CHAR(39))</f>
        <v>3045</v>
      </c>
      <c r="Z78" t="str">
        <f>_xlfn.CONCAT(G78:X78)</f>
        <v>update [dbo].[Inventory] Set [Auditor]  = 'Rob Hapner',[Building]  = 'Main Building',[Writer] = 'Tacoryrieo Edwards',[AreaDesc] = 'SWINGBACK' where [Area]=3045</v>
      </c>
      <c r="AB78" t="s">
        <v>801</v>
      </c>
    </row>
    <row r="79" spans="1:28">
      <c r="A79" t="s">
        <v>299</v>
      </c>
      <c r="B79">
        <v>3046</v>
      </c>
      <c r="C79" t="s">
        <v>297</v>
      </c>
      <c r="D79" t="s">
        <v>242</v>
      </c>
      <c r="E79" t="s">
        <v>766</v>
      </c>
      <c r="G79" t="s">
        <v>716</v>
      </c>
      <c r="H79" s="300" t="str">
        <f>CHAR(39)</f>
        <v>'</v>
      </c>
      <c r="I79" t="str">
        <f>TRIM(SUBSTITUTE(D79,"'","''"))</f>
        <v>Rob Hapner</v>
      </c>
      <c r="J79" s="300" t="str">
        <f>CHAR(39)</f>
        <v>'</v>
      </c>
      <c r="K79" t="s">
        <v>717</v>
      </c>
      <c r="L79" s="300" t="str">
        <f>CHAR(39)</f>
        <v>'</v>
      </c>
      <c r="M79" t="str">
        <f>TRIM(E79)</f>
        <v>Main Building</v>
      </c>
      <c r="N79" s="300" t="str">
        <f>CHAR(39)</f>
        <v>'</v>
      </c>
      <c r="O79" t="s">
        <v>718</v>
      </c>
      <c r="P79" s="300" t="str">
        <f>CHAR(39)</f>
        <v>'</v>
      </c>
      <c r="Q79" t="str">
        <f>TRIM(SUBSTITUTE(IF(C79=0,"",C79),"'","''"))</f>
        <v>Tacoryrieo Edwards</v>
      </c>
      <c r="R79" s="300" t="str">
        <f>CHAR(39)</f>
        <v>'</v>
      </c>
      <c r="S79" t="s">
        <v>719</v>
      </c>
      <c r="T79" s="300" t="str">
        <f>CHAR(39)</f>
        <v>'</v>
      </c>
      <c r="U79" t="str">
        <f>TRIM(SUBSTITUTE(A79,"'","''"))</f>
        <v>OUTSIDE EXTRUSION</v>
      </c>
      <c r="V79" s="300" t="str">
        <f>CHAR(39)</f>
        <v>'</v>
      </c>
      <c r="W79" t="s">
        <v>720</v>
      </c>
      <c r="X79">
        <f>IF(ISNUMBER(B79),B79,CHAR(39)&amp;TRIM(B79)&amp;CHAR(39))</f>
        <v>3046</v>
      </c>
      <c r="Z79" t="str">
        <f>_xlfn.CONCAT(G79:X79)</f>
        <v>update [dbo].[Inventory] Set [Auditor]  = 'Rob Hapner',[Building]  = 'Main Building',[Writer] = 'Tacoryrieo Edwards',[AreaDesc] = 'OUTSIDE EXTRUSION' where [Area]=3046</v>
      </c>
      <c r="AB79" t="s">
        <v>802</v>
      </c>
    </row>
    <row r="80" spans="1:28">
      <c r="A80" t="s">
        <v>313</v>
      </c>
      <c r="B80">
        <v>4001</v>
      </c>
      <c r="C80" t="s">
        <v>314</v>
      </c>
      <c r="D80" t="s">
        <v>315</v>
      </c>
      <c r="E80" t="s">
        <v>803</v>
      </c>
      <c r="G80" t="s">
        <v>716</v>
      </c>
      <c r="H80" s="300" t="str">
        <f>CHAR(39)</f>
        <v>'</v>
      </c>
      <c r="I80" t="str">
        <f>TRIM(SUBSTITUTE(D80,"'","''"))</f>
        <v>Calen Stoler</v>
      </c>
      <c r="J80" s="300" t="str">
        <f>CHAR(39)</f>
        <v>'</v>
      </c>
      <c r="K80" t="s">
        <v>717</v>
      </c>
      <c r="L80" s="300" t="str">
        <f>CHAR(39)</f>
        <v>'</v>
      </c>
      <c r="M80" t="str">
        <f>TRIM(E80)</f>
        <v>South Building</v>
      </c>
      <c r="N80" s="300" t="str">
        <f>CHAR(39)</f>
        <v>'</v>
      </c>
      <c r="O80" t="s">
        <v>718</v>
      </c>
      <c r="P80" s="300" t="str">
        <f>CHAR(39)</f>
        <v>'</v>
      </c>
      <c r="Q80" t="str">
        <f>TRIM(SUBSTITUTE(IF(C80=0,"",C80),"'","''"))</f>
        <v>Owen Craig</v>
      </c>
      <c r="R80" s="300" t="str">
        <f>CHAR(39)</f>
        <v>'</v>
      </c>
      <c r="S80" t="s">
        <v>719</v>
      </c>
      <c r="T80" s="300" t="str">
        <f>CHAR(39)</f>
        <v>'</v>
      </c>
      <c r="U80" t="str">
        <f>TRIM(SUBSTITUTE(A80,"'","''"))</f>
        <v>OUTSIDE/ALL BIMINI AND ARCHES</v>
      </c>
      <c r="V80" s="300" t="str">
        <f>CHAR(39)</f>
        <v>'</v>
      </c>
      <c r="W80" t="s">
        <v>720</v>
      </c>
      <c r="X80">
        <f>IF(ISNUMBER(B80),B80,CHAR(39)&amp;TRIM(B80)&amp;CHAR(39))</f>
        <v>4001</v>
      </c>
      <c r="Z80" t="str">
        <f>_xlfn.CONCAT(G80:X80)</f>
        <v>update [dbo].[Inventory] Set [Auditor]  = 'Calen Stoler',[Building]  = 'South Building',[Writer] = 'Owen Craig',[AreaDesc] = 'OUTSIDE/ALL BIMINI AND ARCHES' where [Area]=4001</v>
      </c>
      <c r="AB80" t="s">
        <v>804</v>
      </c>
    </row>
    <row r="81" spans="1:28">
      <c r="A81" t="s">
        <v>316</v>
      </c>
      <c r="B81">
        <v>4002</v>
      </c>
      <c r="C81" t="s">
        <v>317</v>
      </c>
      <c r="D81" t="s">
        <v>319</v>
      </c>
      <c r="E81" t="s">
        <v>803</v>
      </c>
      <c r="G81" t="s">
        <v>716</v>
      </c>
      <c r="H81" s="300" t="str">
        <f>CHAR(39)</f>
        <v>'</v>
      </c>
      <c r="I81" t="str">
        <f>TRIM(SUBSTITUTE(D81,"'","''"))</f>
        <v>Sothon Chea (Angel)</v>
      </c>
      <c r="J81" s="300" t="str">
        <f>CHAR(39)</f>
        <v>'</v>
      </c>
      <c r="K81" t="s">
        <v>717</v>
      </c>
      <c r="L81" s="300" t="str">
        <f>CHAR(39)</f>
        <v>'</v>
      </c>
      <c r="M81" t="str">
        <f>TRIM(E81)</f>
        <v>South Building</v>
      </c>
      <c r="N81" s="300" t="str">
        <f>CHAR(39)</f>
        <v>'</v>
      </c>
      <c r="O81" t="s">
        <v>718</v>
      </c>
      <c r="P81" s="300" t="str">
        <f>CHAR(39)</f>
        <v>'</v>
      </c>
      <c r="Q81" t="str">
        <f>TRIM(SUBSTITUTE(IF(C81=0,"",C81),"'","''"))</f>
        <v>Caleb Raes</v>
      </c>
      <c r="R81" s="300" t="str">
        <f>CHAR(39)</f>
        <v>'</v>
      </c>
      <c r="S81" t="s">
        <v>719</v>
      </c>
      <c r="T81" s="300" t="str">
        <f>CHAR(39)</f>
        <v>'</v>
      </c>
      <c r="U81" t="str">
        <f>TRIM(SUBSTITUTE(A81,"'","''"))</f>
        <v>FINAL RACK/TRANSHEILD</v>
      </c>
      <c r="V81" s="300" t="str">
        <f>CHAR(39)</f>
        <v>'</v>
      </c>
      <c r="W81" t="s">
        <v>720</v>
      </c>
      <c r="X81">
        <f>IF(ISNUMBER(B81),B81,CHAR(39)&amp;TRIM(B81)&amp;CHAR(39))</f>
        <v>4002</v>
      </c>
      <c r="Z81" t="str">
        <f>_xlfn.CONCAT(G81:X81)</f>
        <v>update [dbo].[Inventory] Set [Auditor]  = 'Sothon Chea (Angel)',[Building]  = 'South Building',[Writer] = 'Caleb Raes',[AreaDesc] = 'FINAL RACK/TRANSHEILD' where [Area]=4002</v>
      </c>
      <c r="AB81" t="s">
        <v>805</v>
      </c>
    </row>
    <row r="82" spans="1:28">
      <c r="A82" t="s">
        <v>320</v>
      </c>
      <c r="B82">
        <v>4003</v>
      </c>
      <c r="C82" t="s">
        <v>321</v>
      </c>
      <c r="D82" t="s">
        <v>323</v>
      </c>
      <c r="E82" t="s">
        <v>803</v>
      </c>
      <c r="G82" t="s">
        <v>716</v>
      </c>
      <c r="H82" s="300" t="str">
        <f>CHAR(39)</f>
        <v>'</v>
      </c>
      <c r="I82" t="str">
        <f>TRIM(SUBSTITUTE(D82,"'","''"))</f>
        <v>Irais Miller</v>
      </c>
      <c r="J82" s="300" t="str">
        <f>CHAR(39)</f>
        <v>'</v>
      </c>
      <c r="K82" t="s">
        <v>717</v>
      </c>
      <c r="L82" s="300" t="str">
        <f>CHAR(39)</f>
        <v>'</v>
      </c>
      <c r="M82" t="str">
        <f>TRIM(E82)</f>
        <v>South Building</v>
      </c>
      <c r="N82" s="300" t="str">
        <f>CHAR(39)</f>
        <v>'</v>
      </c>
      <c r="O82" t="s">
        <v>718</v>
      </c>
      <c r="P82" s="300" t="str">
        <f>CHAR(39)</f>
        <v>'</v>
      </c>
      <c r="Q82" t="str">
        <f>TRIM(SUBSTITUTE(IF(C82=0,"",C82),"'","''"))</f>
        <v>Maribel Quinones</v>
      </c>
      <c r="R82" s="300" t="str">
        <f>CHAR(39)</f>
        <v>'</v>
      </c>
      <c r="S82" t="s">
        <v>719</v>
      </c>
      <c r="T82" s="300" t="str">
        <f>CHAR(39)</f>
        <v>'</v>
      </c>
      <c r="U82" t="str">
        <f>TRIM(SUBSTITUTE(A82,"'","''"))</f>
        <v>POINT OF USE RACK BY ENGINE RIG</v>
      </c>
      <c r="V82" s="300" t="str">
        <f>CHAR(39)</f>
        <v>'</v>
      </c>
      <c r="W82" t="s">
        <v>720</v>
      </c>
      <c r="X82">
        <f>IF(ISNUMBER(B82),B82,CHAR(39)&amp;TRIM(B82)&amp;CHAR(39))</f>
        <v>4003</v>
      </c>
      <c r="Z82" t="str">
        <f>_xlfn.CONCAT(G82:X82)</f>
        <v>update [dbo].[Inventory] Set [Auditor]  = 'Irais Miller',[Building]  = 'South Building',[Writer] = 'Maribel Quinones',[AreaDesc] = 'POINT OF USE RACK BY ENGINE RIG' where [Area]=4003</v>
      </c>
      <c r="AB82" t="s">
        <v>806</v>
      </c>
    </row>
    <row r="83" spans="1:28">
      <c r="A83" t="s">
        <v>320</v>
      </c>
      <c r="B83">
        <v>4004</v>
      </c>
      <c r="C83" t="s">
        <v>324</v>
      </c>
      <c r="D83" t="s">
        <v>319</v>
      </c>
      <c r="E83" t="s">
        <v>803</v>
      </c>
      <c r="G83" t="s">
        <v>716</v>
      </c>
      <c r="H83" s="300" t="str">
        <f>CHAR(39)</f>
        <v>'</v>
      </c>
      <c r="I83" t="str">
        <f>TRIM(SUBSTITUTE(D83,"'","''"))</f>
        <v>Sothon Chea (Angel)</v>
      </c>
      <c r="J83" s="300" t="str">
        <f>CHAR(39)</f>
        <v>'</v>
      </c>
      <c r="K83" t="s">
        <v>717</v>
      </c>
      <c r="L83" s="300" t="str">
        <f>CHAR(39)</f>
        <v>'</v>
      </c>
      <c r="M83" t="str">
        <f>TRIM(E83)</f>
        <v>South Building</v>
      </c>
      <c r="N83" s="300" t="str">
        <f>CHAR(39)</f>
        <v>'</v>
      </c>
      <c r="O83" t="s">
        <v>718</v>
      </c>
      <c r="P83" s="300" t="str">
        <f>CHAR(39)</f>
        <v>'</v>
      </c>
      <c r="Q83" t="str">
        <f>TRIM(SUBSTITUTE(IF(C83=0,"",C83),"'","''"))</f>
        <v>Martin Rodriguez Robles</v>
      </c>
      <c r="R83" s="300" t="str">
        <f>CHAR(39)</f>
        <v>'</v>
      </c>
      <c r="S83" t="s">
        <v>719</v>
      </c>
      <c r="T83" s="300" t="str">
        <f>CHAR(39)</f>
        <v>'</v>
      </c>
      <c r="U83" t="str">
        <f>TRIM(SUBSTITUTE(A83,"'","''"))</f>
        <v>POINT OF USE RACK BY ENGINE RIG</v>
      </c>
      <c r="V83" s="300" t="str">
        <f>CHAR(39)</f>
        <v>'</v>
      </c>
      <c r="W83" t="s">
        <v>720</v>
      </c>
      <c r="X83">
        <f>IF(ISNUMBER(B83),B83,CHAR(39)&amp;TRIM(B83)&amp;CHAR(39))</f>
        <v>4004</v>
      </c>
      <c r="Z83" t="str">
        <f>_xlfn.CONCAT(G83:X83)</f>
        <v>update [dbo].[Inventory] Set [Auditor]  = 'Sothon Chea (Angel)',[Building]  = 'South Building',[Writer] = 'Martin Rodriguez Robles',[AreaDesc] = 'POINT OF USE RACK BY ENGINE RIG' where [Area]=4004</v>
      </c>
      <c r="AB83" t="s">
        <v>807</v>
      </c>
    </row>
    <row r="84" spans="1:28">
      <c r="A84" t="s">
        <v>326</v>
      </c>
      <c r="B84">
        <v>4005</v>
      </c>
      <c r="C84" t="s">
        <v>327</v>
      </c>
      <c r="D84" t="s">
        <v>323</v>
      </c>
      <c r="E84" t="s">
        <v>803</v>
      </c>
      <c r="G84" t="s">
        <v>716</v>
      </c>
      <c r="H84" s="300" t="str">
        <f>CHAR(39)</f>
        <v>'</v>
      </c>
      <c r="I84" t="str">
        <f>TRIM(SUBSTITUTE(D84,"'","''"))</f>
        <v>Irais Miller</v>
      </c>
      <c r="J84" s="300" t="str">
        <f>CHAR(39)</f>
        <v>'</v>
      </c>
      <c r="K84" t="s">
        <v>717</v>
      </c>
      <c r="L84" s="300" t="str">
        <f>CHAR(39)</f>
        <v>'</v>
      </c>
      <c r="M84" t="str">
        <f>TRIM(E84)</f>
        <v>South Building</v>
      </c>
      <c r="N84" s="300" t="str">
        <f>CHAR(39)</f>
        <v>'</v>
      </c>
      <c r="O84" t="s">
        <v>718</v>
      </c>
      <c r="P84" s="300" t="str">
        <f>CHAR(39)</f>
        <v>'</v>
      </c>
      <c r="Q84" t="str">
        <f>TRIM(SUBSTITUTE(IF(C84=0,"",C84),"'","''"))</f>
        <v>Alejandra Marquez</v>
      </c>
      <c r="R84" s="300" t="str">
        <f>CHAR(39)</f>
        <v>'</v>
      </c>
      <c r="S84" t="s">
        <v>719</v>
      </c>
      <c r="T84" s="300" t="str">
        <f>CHAR(39)</f>
        <v>'</v>
      </c>
      <c r="U84" t="str">
        <f>TRIM(SUBSTITUTE(A84,"'","''"))</f>
        <v>SOUTHEAST CORNER RACKS</v>
      </c>
      <c r="V84" s="300" t="str">
        <f>CHAR(39)</f>
        <v>'</v>
      </c>
      <c r="W84" t="s">
        <v>720</v>
      </c>
      <c r="X84">
        <f>IF(ISNUMBER(B84),B84,CHAR(39)&amp;TRIM(B84)&amp;CHAR(39))</f>
        <v>4005</v>
      </c>
      <c r="Z84" t="str">
        <f>_xlfn.CONCAT(G84:X84)</f>
        <v>update [dbo].[Inventory] Set [Auditor]  = 'Irais Miller',[Building]  = 'South Building',[Writer] = 'Alejandra Marquez',[AreaDesc] = 'SOUTHEAST CORNER RACKS' where [Area]=4005</v>
      </c>
      <c r="AB84" t="s">
        <v>808</v>
      </c>
    </row>
    <row r="85" spans="1:28">
      <c r="A85" t="s">
        <v>326</v>
      </c>
      <c r="B85">
        <v>4006</v>
      </c>
      <c r="C85" t="s">
        <v>329</v>
      </c>
      <c r="D85" t="s">
        <v>331</v>
      </c>
      <c r="E85" t="s">
        <v>803</v>
      </c>
      <c r="G85" t="s">
        <v>716</v>
      </c>
      <c r="H85" s="300" t="str">
        <f>CHAR(39)</f>
        <v>'</v>
      </c>
      <c r="I85" t="str">
        <f>TRIM(SUBSTITUTE(D85,"'","''"))</f>
        <v>Casey Bernaert</v>
      </c>
      <c r="J85" s="300" t="str">
        <f>CHAR(39)</f>
        <v>'</v>
      </c>
      <c r="K85" t="s">
        <v>717</v>
      </c>
      <c r="L85" s="300" t="str">
        <f>CHAR(39)</f>
        <v>'</v>
      </c>
      <c r="M85" t="str">
        <f>TRIM(E85)</f>
        <v>South Building</v>
      </c>
      <c r="N85" s="300" t="str">
        <f>CHAR(39)</f>
        <v>'</v>
      </c>
      <c r="O85" t="s">
        <v>718</v>
      </c>
      <c r="P85" s="300" t="str">
        <f>CHAR(39)</f>
        <v>'</v>
      </c>
      <c r="Q85" t="str">
        <f>TRIM(SUBSTITUTE(IF(C85=0,"",C85),"'","''"))</f>
        <v>Emily Murphy</v>
      </c>
      <c r="R85" s="300" t="str">
        <f>CHAR(39)</f>
        <v>'</v>
      </c>
      <c r="S85" t="s">
        <v>719</v>
      </c>
      <c r="T85" s="300" t="str">
        <f>CHAR(39)</f>
        <v>'</v>
      </c>
      <c r="U85" t="str">
        <f>TRIM(SUBSTITUTE(A85,"'","''"))</f>
        <v>SOUTHEAST CORNER RACKS</v>
      </c>
      <c r="V85" s="300" t="str">
        <f>CHAR(39)</f>
        <v>'</v>
      </c>
      <c r="W85" t="s">
        <v>720</v>
      </c>
      <c r="X85">
        <f>IF(ISNUMBER(B85),B85,CHAR(39)&amp;TRIM(B85)&amp;CHAR(39))</f>
        <v>4006</v>
      </c>
      <c r="Z85" t="str">
        <f>_xlfn.CONCAT(G85:X85)</f>
        <v>update [dbo].[Inventory] Set [Auditor]  = 'Casey Bernaert',[Building]  = 'South Building',[Writer] = 'Emily Murphy',[AreaDesc] = 'SOUTHEAST CORNER RACKS' where [Area]=4006</v>
      </c>
      <c r="AB85" t="s">
        <v>809</v>
      </c>
    </row>
    <row r="86" spans="1:28">
      <c r="A86" t="s">
        <v>326</v>
      </c>
      <c r="B86">
        <v>4007</v>
      </c>
      <c r="C86" t="s">
        <v>332</v>
      </c>
      <c r="D86" t="s">
        <v>315</v>
      </c>
      <c r="E86" t="s">
        <v>803</v>
      </c>
      <c r="G86" t="s">
        <v>716</v>
      </c>
      <c r="H86" s="300" t="str">
        <f>CHAR(39)</f>
        <v>'</v>
      </c>
      <c r="I86" t="str">
        <f>TRIM(SUBSTITUTE(D86,"'","''"))</f>
        <v>Calen Stoler</v>
      </c>
      <c r="J86" s="300" t="str">
        <f>CHAR(39)</f>
        <v>'</v>
      </c>
      <c r="K86" t="s">
        <v>717</v>
      </c>
      <c r="L86" s="300" t="str">
        <f>CHAR(39)</f>
        <v>'</v>
      </c>
      <c r="M86" t="str">
        <f>TRIM(E86)</f>
        <v>South Building</v>
      </c>
      <c r="N86" s="300" t="str">
        <f>CHAR(39)</f>
        <v>'</v>
      </c>
      <c r="O86" t="s">
        <v>718</v>
      </c>
      <c r="P86" s="300" t="str">
        <f>CHAR(39)</f>
        <v>'</v>
      </c>
      <c r="Q86" t="str">
        <f>TRIM(SUBSTITUTE(IF(C86=0,"",C86),"'","''"))</f>
        <v>John Hall</v>
      </c>
      <c r="R86" s="300" t="str">
        <f>CHAR(39)</f>
        <v>'</v>
      </c>
      <c r="S86" t="s">
        <v>719</v>
      </c>
      <c r="T86" s="300" t="str">
        <f>CHAR(39)</f>
        <v>'</v>
      </c>
      <c r="U86" t="str">
        <f>TRIM(SUBSTITUTE(A86,"'","''"))</f>
        <v>SOUTHEAST CORNER RACKS</v>
      </c>
      <c r="V86" s="300" t="str">
        <f>CHAR(39)</f>
        <v>'</v>
      </c>
      <c r="W86" t="s">
        <v>720</v>
      </c>
      <c r="X86">
        <f>IF(ISNUMBER(B86),B86,CHAR(39)&amp;TRIM(B86)&amp;CHAR(39))</f>
        <v>4007</v>
      </c>
      <c r="Z86" t="str">
        <f>_xlfn.CONCAT(G86:X86)</f>
        <v>update [dbo].[Inventory] Set [Auditor]  = 'Calen Stoler',[Building]  = 'South Building',[Writer] = 'John Hall',[AreaDesc] = 'SOUTHEAST CORNER RACKS' where [Area]=4007</v>
      </c>
      <c r="AB86" t="s">
        <v>810</v>
      </c>
    </row>
    <row r="87" spans="1:28">
      <c r="A87" t="s">
        <v>326</v>
      </c>
      <c r="B87">
        <v>4008</v>
      </c>
      <c r="C87" t="s">
        <v>334</v>
      </c>
      <c r="D87" t="s">
        <v>336</v>
      </c>
      <c r="E87" t="s">
        <v>803</v>
      </c>
      <c r="G87" t="s">
        <v>716</v>
      </c>
      <c r="H87" s="300" t="str">
        <f>CHAR(39)</f>
        <v>'</v>
      </c>
      <c r="I87" t="str">
        <f>TRIM(SUBSTITUTE(D87,"'","''"))</f>
        <v>Breydan Weston</v>
      </c>
      <c r="J87" s="300" t="str">
        <f>CHAR(39)</f>
        <v>'</v>
      </c>
      <c r="K87" t="s">
        <v>717</v>
      </c>
      <c r="L87" s="300" t="str">
        <f>CHAR(39)</f>
        <v>'</v>
      </c>
      <c r="M87" t="str">
        <f>TRIM(E87)</f>
        <v>South Building</v>
      </c>
      <c r="N87" s="300" t="str">
        <f>CHAR(39)</f>
        <v>'</v>
      </c>
      <c r="O87" t="s">
        <v>718</v>
      </c>
      <c r="P87" s="300" t="str">
        <f>CHAR(39)</f>
        <v>'</v>
      </c>
      <c r="Q87" t="str">
        <f>TRIM(SUBSTITUTE(IF(C87=0,"",C87),"'","''"))</f>
        <v>Anthony Fizer</v>
      </c>
      <c r="R87" s="300" t="str">
        <f>CHAR(39)</f>
        <v>'</v>
      </c>
      <c r="S87" t="s">
        <v>719</v>
      </c>
      <c r="T87" s="300" t="str">
        <f>CHAR(39)</f>
        <v>'</v>
      </c>
      <c r="U87" t="str">
        <f>TRIM(SUBSTITUTE(A87,"'","''"))</f>
        <v>SOUTHEAST CORNER RACKS</v>
      </c>
      <c r="V87" s="300" t="str">
        <f>CHAR(39)</f>
        <v>'</v>
      </c>
      <c r="W87" t="s">
        <v>720</v>
      </c>
      <c r="X87">
        <f>IF(ISNUMBER(B87),B87,CHAR(39)&amp;TRIM(B87)&amp;CHAR(39))</f>
        <v>4008</v>
      </c>
      <c r="Z87" t="str">
        <f>_xlfn.CONCAT(G87:X87)</f>
        <v>update [dbo].[Inventory] Set [Auditor]  = 'Breydan Weston',[Building]  = 'South Building',[Writer] = 'Anthony Fizer',[AreaDesc] = 'SOUTHEAST CORNER RACKS' where [Area]=4008</v>
      </c>
      <c r="AB87" t="s">
        <v>811</v>
      </c>
    </row>
    <row r="88" spans="1:28">
      <c r="A88" t="s">
        <v>326</v>
      </c>
      <c r="B88">
        <v>4009</v>
      </c>
      <c r="C88" t="s">
        <v>337</v>
      </c>
      <c r="D88" t="s">
        <v>339</v>
      </c>
      <c r="E88" t="s">
        <v>803</v>
      </c>
      <c r="G88" t="s">
        <v>716</v>
      </c>
      <c r="H88" s="300" t="str">
        <f>CHAR(39)</f>
        <v>'</v>
      </c>
      <c r="I88" t="str">
        <f>TRIM(SUBSTITUTE(D88,"'","''"))</f>
        <v>Rachel Fausnaugh</v>
      </c>
      <c r="J88" s="300" t="str">
        <f>CHAR(39)</f>
        <v>'</v>
      </c>
      <c r="K88" t="s">
        <v>717</v>
      </c>
      <c r="L88" s="300" t="str">
        <f>CHAR(39)</f>
        <v>'</v>
      </c>
      <c r="M88" t="str">
        <f>TRIM(E88)</f>
        <v>South Building</v>
      </c>
      <c r="N88" s="300" t="str">
        <f>CHAR(39)</f>
        <v>'</v>
      </c>
      <c r="O88" t="s">
        <v>718</v>
      </c>
      <c r="P88" s="300" t="str">
        <f>CHAR(39)</f>
        <v>'</v>
      </c>
      <c r="Q88" t="str">
        <f>TRIM(SUBSTITUTE(IF(C88=0,"",C88),"'","''"))</f>
        <v>Reese Morehead</v>
      </c>
      <c r="R88" s="300" t="str">
        <f>CHAR(39)</f>
        <v>'</v>
      </c>
      <c r="S88" t="s">
        <v>719</v>
      </c>
      <c r="T88" s="300" t="str">
        <f>CHAR(39)</f>
        <v>'</v>
      </c>
      <c r="U88" t="str">
        <f>TRIM(SUBSTITUTE(A88,"'","''"))</f>
        <v>SOUTHEAST CORNER RACKS</v>
      </c>
      <c r="V88" s="300" t="str">
        <f>CHAR(39)</f>
        <v>'</v>
      </c>
      <c r="W88" t="s">
        <v>720</v>
      </c>
      <c r="X88">
        <f>IF(ISNUMBER(B88),B88,CHAR(39)&amp;TRIM(B88)&amp;CHAR(39))</f>
        <v>4009</v>
      </c>
      <c r="Z88" t="str">
        <f>_xlfn.CONCAT(G88:X88)</f>
        <v>update [dbo].[Inventory] Set [Auditor]  = 'Rachel Fausnaugh',[Building]  = 'South Building',[Writer] = 'Reese Morehead',[AreaDesc] = 'SOUTHEAST CORNER RACKS' where [Area]=4009</v>
      </c>
      <c r="AB88" t="s">
        <v>812</v>
      </c>
    </row>
    <row r="89" spans="1:28">
      <c r="A89" t="s">
        <v>326</v>
      </c>
      <c r="B89">
        <v>4010</v>
      </c>
      <c r="C89" t="s">
        <v>340</v>
      </c>
      <c r="D89" t="s">
        <v>342</v>
      </c>
      <c r="E89" t="s">
        <v>803</v>
      </c>
      <c r="G89" t="s">
        <v>716</v>
      </c>
      <c r="H89" s="300" t="str">
        <f>CHAR(39)</f>
        <v>'</v>
      </c>
      <c r="I89" t="str">
        <f>TRIM(SUBSTITUTE(D89,"'","''"))</f>
        <v>Jake Grove</v>
      </c>
      <c r="J89" s="300" t="str">
        <f>CHAR(39)</f>
        <v>'</v>
      </c>
      <c r="K89" t="s">
        <v>717</v>
      </c>
      <c r="L89" s="300" t="str">
        <f>CHAR(39)</f>
        <v>'</v>
      </c>
      <c r="M89" t="str">
        <f>TRIM(E89)</f>
        <v>South Building</v>
      </c>
      <c r="N89" s="300" t="str">
        <f>CHAR(39)</f>
        <v>'</v>
      </c>
      <c r="O89" t="s">
        <v>718</v>
      </c>
      <c r="P89" s="300" t="str">
        <f>CHAR(39)</f>
        <v>'</v>
      </c>
      <c r="Q89" t="str">
        <f>TRIM(SUBSTITUTE(IF(C89=0,"",C89),"'","''"))</f>
        <v>Savanna RinMeak</v>
      </c>
      <c r="R89" s="300" t="str">
        <f>CHAR(39)</f>
        <v>'</v>
      </c>
      <c r="S89" t="s">
        <v>719</v>
      </c>
      <c r="T89" s="300" t="str">
        <f>CHAR(39)</f>
        <v>'</v>
      </c>
      <c r="U89" t="str">
        <f>TRIM(SUBSTITUTE(A89,"'","''"))</f>
        <v>SOUTHEAST CORNER RACKS</v>
      </c>
      <c r="V89" s="300" t="str">
        <f>CHAR(39)</f>
        <v>'</v>
      </c>
      <c r="W89" t="s">
        <v>720</v>
      </c>
      <c r="X89">
        <f>IF(ISNUMBER(B89),B89,CHAR(39)&amp;TRIM(B89)&amp;CHAR(39))</f>
        <v>4010</v>
      </c>
      <c r="Z89" t="str">
        <f>_xlfn.CONCAT(G89:X89)</f>
        <v>update [dbo].[Inventory] Set [Auditor]  = 'Jake Grove',[Building]  = 'South Building',[Writer] = 'Savanna RinMeak',[AreaDesc] = 'SOUTHEAST CORNER RACKS' where [Area]=4010</v>
      </c>
      <c r="AB89" t="s">
        <v>813</v>
      </c>
    </row>
    <row r="90" spans="1:28">
      <c r="A90" t="s">
        <v>326</v>
      </c>
      <c r="B90">
        <v>4011</v>
      </c>
      <c r="C90" t="s">
        <v>343</v>
      </c>
      <c r="D90" t="s">
        <v>331</v>
      </c>
      <c r="E90" t="s">
        <v>803</v>
      </c>
      <c r="G90" t="s">
        <v>716</v>
      </c>
      <c r="H90" s="300" t="str">
        <f>CHAR(39)</f>
        <v>'</v>
      </c>
      <c r="I90" t="str">
        <f>TRIM(SUBSTITUTE(D90,"'","''"))</f>
        <v>Casey Bernaert</v>
      </c>
      <c r="J90" s="300" t="str">
        <f>CHAR(39)</f>
        <v>'</v>
      </c>
      <c r="K90" t="s">
        <v>717</v>
      </c>
      <c r="L90" s="300" t="str">
        <f>CHAR(39)</f>
        <v>'</v>
      </c>
      <c r="M90" t="str">
        <f>TRIM(E90)</f>
        <v>South Building</v>
      </c>
      <c r="N90" s="300" t="str">
        <f>CHAR(39)</f>
        <v>'</v>
      </c>
      <c r="O90" t="s">
        <v>718</v>
      </c>
      <c r="P90" s="300" t="str">
        <f>CHAR(39)</f>
        <v>'</v>
      </c>
      <c r="Q90" t="str">
        <f>TRIM(SUBSTITUTE(IF(C90=0,"",C90),"'","''"))</f>
        <v>Chase Murphy</v>
      </c>
      <c r="R90" s="300" t="str">
        <f>CHAR(39)</f>
        <v>'</v>
      </c>
      <c r="S90" t="s">
        <v>719</v>
      </c>
      <c r="T90" s="300" t="str">
        <f>CHAR(39)</f>
        <v>'</v>
      </c>
      <c r="U90" t="str">
        <f>TRIM(SUBSTITUTE(A90,"'","''"))</f>
        <v>SOUTHEAST CORNER RACKS</v>
      </c>
      <c r="V90" s="300" t="str">
        <f>CHAR(39)</f>
        <v>'</v>
      </c>
      <c r="W90" t="s">
        <v>720</v>
      </c>
      <c r="X90">
        <f>IF(ISNUMBER(B90),B90,CHAR(39)&amp;TRIM(B90)&amp;CHAR(39))</f>
        <v>4011</v>
      </c>
      <c r="Z90" t="str">
        <f>_xlfn.CONCAT(G90:X90)</f>
        <v>update [dbo].[Inventory] Set [Auditor]  = 'Casey Bernaert',[Building]  = 'South Building',[Writer] = 'Chase Murphy',[AreaDesc] = 'SOUTHEAST CORNER RACKS' where [Area]=4011</v>
      </c>
      <c r="AB90" t="s">
        <v>814</v>
      </c>
    </row>
    <row r="91" spans="1:28">
      <c r="A91" t="s">
        <v>326</v>
      </c>
      <c r="B91">
        <v>4012</v>
      </c>
      <c r="C91" t="s">
        <v>345</v>
      </c>
      <c r="D91" t="s">
        <v>347</v>
      </c>
      <c r="E91" t="s">
        <v>803</v>
      </c>
      <c r="G91" t="s">
        <v>716</v>
      </c>
      <c r="H91" s="300" t="str">
        <f>CHAR(39)</f>
        <v>'</v>
      </c>
      <c r="I91" t="str">
        <f>TRIM(SUBSTITUTE(D91,"'","''"))</f>
        <v>AJ Garber</v>
      </c>
      <c r="J91" s="300" t="str">
        <f>CHAR(39)</f>
        <v>'</v>
      </c>
      <c r="K91" t="s">
        <v>717</v>
      </c>
      <c r="L91" s="300" t="str">
        <f>CHAR(39)</f>
        <v>'</v>
      </c>
      <c r="M91" t="str">
        <f>TRIM(E91)</f>
        <v>South Building</v>
      </c>
      <c r="N91" s="300" t="str">
        <f>CHAR(39)</f>
        <v>'</v>
      </c>
      <c r="O91" t="s">
        <v>718</v>
      </c>
      <c r="P91" s="300" t="str">
        <f>CHAR(39)</f>
        <v>'</v>
      </c>
      <c r="Q91" t="str">
        <f>TRIM(SUBSTITUTE(IF(C91=0,"",C91),"'","''"))</f>
        <v>Heidi Wilbourn</v>
      </c>
      <c r="R91" s="300" t="str">
        <f>CHAR(39)</f>
        <v>'</v>
      </c>
      <c r="S91" t="s">
        <v>719</v>
      </c>
      <c r="T91" s="300" t="str">
        <f>CHAR(39)</f>
        <v>'</v>
      </c>
      <c r="U91" t="str">
        <f>TRIM(SUBSTITUTE(A91,"'","''"))</f>
        <v>SOUTHEAST CORNER RACKS</v>
      </c>
      <c r="V91" s="300" t="str">
        <f>CHAR(39)</f>
        <v>'</v>
      </c>
      <c r="W91" t="s">
        <v>720</v>
      </c>
      <c r="X91">
        <f>IF(ISNUMBER(B91),B91,CHAR(39)&amp;TRIM(B91)&amp;CHAR(39))</f>
        <v>4012</v>
      </c>
      <c r="Z91" t="str">
        <f>_xlfn.CONCAT(G91:X91)</f>
        <v>update [dbo].[Inventory] Set [Auditor]  = 'AJ Garber',[Building]  = 'South Building',[Writer] = 'Heidi Wilbourn',[AreaDesc] = 'SOUTHEAST CORNER RACKS' where [Area]=4012</v>
      </c>
      <c r="AB91" t="s">
        <v>815</v>
      </c>
    </row>
    <row r="92" spans="1:28">
      <c r="A92" t="s">
        <v>348</v>
      </c>
      <c r="B92">
        <v>4013</v>
      </c>
      <c r="C92" t="s">
        <v>349</v>
      </c>
      <c r="D92" t="s">
        <v>351</v>
      </c>
      <c r="E92" t="s">
        <v>803</v>
      </c>
      <c r="G92" t="s">
        <v>716</v>
      </c>
      <c r="H92" s="300" t="str">
        <f>CHAR(39)</f>
        <v>'</v>
      </c>
      <c r="I92" t="str">
        <f>TRIM(SUBSTITUTE(D92,"'","''"))</f>
        <v>Francisco Santiago</v>
      </c>
      <c r="J92" s="300" t="str">
        <f>CHAR(39)</f>
        <v>'</v>
      </c>
      <c r="K92" t="s">
        <v>717</v>
      </c>
      <c r="L92" s="300" t="str">
        <f>CHAR(39)</f>
        <v>'</v>
      </c>
      <c r="M92" t="str">
        <f>TRIM(E92)</f>
        <v>South Building</v>
      </c>
      <c r="N92" s="300" t="str">
        <f>CHAR(39)</f>
        <v>'</v>
      </c>
      <c r="O92" t="s">
        <v>718</v>
      </c>
      <c r="P92" s="300" t="str">
        <f>CHAR(39)</f>
        <v>'</v>
      </c>
      <c r="Q92" t="str">
        <f>TRIM(SUBSTITUTE(IF(C92=0,"",C92),"'","''"))</f>
        <v>Yovani Guzman</v>
      </c>
      <c r="R92" s="300" t="str">
        <f>CHAR(39)</f>
        <v>'</v>
      </c>
      <c r="S92" t="s">
        <v>719</v>
      </c>
      <c r="T92" s="300" t="str">
        <f>CHAR(39)</f>
        <v>'</v>
      </c>
      <c r="U92" t="str">
        <f>TRIM(SUBSTITUTE(A92,"'","''"))</f>
        <v>CARPET/MATS</v>
      </c>
      <c r="V92" s="300" t="str">
        <f>CHAR(39)</f>
        <v>'</v>
      </c>
      <c r="W92" t="s">
        <v>720</v>
      </c>
      <c r="X92">
        <f>IF(ISNUMBER(B92),B92,CHAR(39)&amp;TRIM(B92)&amp;CHAR(39))</f>
        <v>4013</v>
      </c>
      <c r="Z92" t="str">
        <f>_xlfn.CONCAT(G92:X92)</f>
        <v>update [dbo].[Inventory] Set [Auditor]  = 'Francisco Santiago',[Building]  = 'South Building',[Writer] = 'Yovani Guzman',[AreaDesc] = 'CARPET/MATS' where [Area]=4013</v>
      </c>
      <c r="AB92" t="s">
        <v>816</v>
      </c>
    </row>
    <row r="93" spans="1:28">
      <c r="A93" t="s">
        <v>326</v>
      </c>
      <c r="B93">
        <v>4014</v>
      </c>
      <c r="C93" t="s">
        <v>352</v>
      </c>
      <c r="D93" t="s">
        <v>354</v>
      </c>
      <c r="E93" t="s">
        <v>803</v>
      </c>
      <c r="G93" t="s">
        <v>716</v>
      </c>
      <c r="H93" s="300" t="str">
        <f>CHAR(39)</f>
        <v>'</v>
      </c>
      <c r="I93" t="str">
        <f>TRIM(SUBSTITUTE(D93,"'","''"))</f>
        <v>Brian Wallace</v>
      </c>
      <c r="J93" s="300" t="str">
        <f>CHAR(39)</f>
        <v>'</v>
      </c>
      <c r="K93" t="s">
        <v>717</v>
      </c>
      <c r="L93" s="300" t="str">
        <f>CHAR(39)</f>
        <v>'</v>
      </c>
      <c r="M93" t="str">
        <f>TRIM(E93)</f>
        <v>South Building</v>
      </c>
      <c r="N93" s="300" t="str">
        <f>CHAR(39)</f>
        <v>'</v>
      </c>
      <c r="O93" t="s">
        <v>718</v>
      </c>
      <c r="P93" s="300" t="str">
        <f>CHAR(39)</f>
        <v>'</v>
      </c>
      <c r="Q93" t="str">
        <f>TRIM(SUBSTITUTE(IF(C93=0,"",C93),"'","''"))</f>
        <v>Houston George</v>
      </c>
      <c r="R93" s="300" t="str">
        <f>CHAR(39)</f>
        <v>'</v>
      </c>
      <c r="S93" t="s">
        <v>719</v>
      </c>
      <c r="T93" s="300" t="str">
        <f>CHAR(39)</f>
        <v>'</v>
      </c>
      <c r="U93" t="str">
        <f>TRIM(SUBSTITUTE(A93,"'","''"))</f>
        <v>SOUTHEAST CORNER RACKS</v>
      </c>
      <c r="V93" s="300" t="str">
        <f>CHAR(39)</f>
        <v>'</v>
      </c>
      <c r="W93" t="s">
        <v>720</v>
      </c>
      <c r="X93">
        <f>IF(ISNUMBER(B93),B93,CHAR(39)&amp;TRIM(B93)&amp;CHAR(39))</f>
        <v>4014</v>
      </c>
      <c r="Z93" t="str">
        <f>_xlfn.CONCAT(G93:X93)</f>
        <v>update [dbo].[Inventory] Set [Auditor]  = 'Brian Wallace',[Building]  = 'South Building',[Writer] = 'Houston George',[AreaDesc] = 'SOUTHEAST CORNER RACKS' where [Area]=4014</v>
      </c>
      <c r="AB93" t="s">
        <v>817</v>
      </c>
    </row>
    <row r="94" spans="1:28">
      <c r="A94" t="s">
        <v>326</v>
      </c>
      <c r="B94">
        <v>4015</v>
      </c>
      <c r="C94" t="s">
        <v>355</v>
      </c>
      <c r="D94" t="s">
        <v>354</v>
      </c>
      <c r="E94" t="s">
        <v>803</v>
      </c>
      <c r="G94" t="s">
        <v>716</v>
      </c>
      <c r="H94" s="300" t="str">
        <f>CHAR(39)</f>
        <v>'</v>
      </c>
      <c r="I94" t="str">
        <f>TRIM(SUBSTITUTE(D94,"'","''"))</f>
        <v>Brian Wallace</v>
      </c>
      <c r="J94" s="300" t="str">
        <f>CHAR(39)</f>
        <v>'</v>
      </c>
      <c r="K94" t="s">
        <v>717</v>
      </c>
      <c r="L94" s="300" t="str">
        <f>CHAR(39)</f>
        <v>'</v>
      </c>
      <c r="M94" t="str">
        <f>TRIM(E94)</f>
        <v>South Building</v>
      </c>
      <c r="N94" s="300" t="str">
        <f>CHAR(39)</f>
        <v>'</v>
      </c>
      <c r="O94" t="s">
        <v>718</v>
      </c>
      <c r="P94" s="300" t="str">
        <f>CHAR(39)</f>
        <v>'</v>
      </c>
      <c r="Q94" t="str">
        <f>TRIM(SUBSTITUTE(IF(C94=0,"",C94),"'","''"))</f>
        <v>Ernalyn Gawne</v>
      </c>
      <c r="R94" s="300" t="str">
        <f>CHAR(39)</f>
        <v>'</v>
      </c>
      <c r="S94" t="s">
        <v>719</v>
      </c>
      <c r="T94" s="300" t="str">
        <f>CHAR(39)</f>
        <v>'</v>
      </c>
      <c r="U94" t="str">
        <f>TRIM(SUBSTITUTE(A94,"'","''"))</f>
        <v>SOUTHEAST CORNER RACKS</v>
      </c>
      <c r="V94" s="300" t="str">
        <f>CHAR(39)</f>
        <v>'</v>
      </c>
      <c r="W94" t="s">
        <v>720</v>
      </c>
      <c r="X94">
        <f>IF(ISNUMBER(B94),B94,CHAR(39)&amp;TRIM(B94)&amp;CHAR(39))</f>
        <v>4015</v>
      </c>
      <c r="Z94" t="str">
        <f>_xlfn.CONCAT(G94:X94)</f>
        <v>update [dbo].[Inventory] Set [Auditor]  = 'Brian Wallace',[Building]  = 'South Building',[Writer] = 'Ernalyn Gawne',[AreaDesc] = 'SOUTHEAST CORNER RACKS' where [Area]=4015</v>
      </c>
      <c r="AB94" t="s">
        <v>818</v>
      </c>
    </row>
    <row r="95" spans="1:28">
      <c r="A95" t="s">
        <v>326</v>
      </c>
      <c r="B95">
        <v>4016</v>
      </c>
      <c r="C95" t="s">
        <v>356</v>
      </c>
      <c r="D95" t="s">
        <v>336</v>
      </c>
      <c r="E95" t="s">
        <v>803</v>
      </c>
      <c r="G95" t="s">
        <v>716</v>
      </c>
      <c r="H95" s="300" t="str">
        <f>CHAR(39)</f>
        <v>'</v>
      </c>
      <c r="I95" t="str">
        <f>TRIM(SUBSTITUTE(D95,"'","''"))</f>
        <v>Breydan Weston</v>
      </c>
      <c r="J95" s="300" t="str">
        <f>CHAR(39)</f>
        <v>'</v>
      </c>
      <c r="K95" t="s">
        <v>717</v>
      </c>
      <c r="L95" s="300" t="str">
        <f>CHAR(39)</f>
        <v>'</v>
      </c>
      <c r="M95" t="str">
        <f>TRIM(E95)</f>
        <v>South Building</v>
      </c>
      <c r="N95" s="300" t="str">
        <f>CHAR(39)</f>
        <v>'</v>
      </c>
      <c r="O95" t="s">
        <v>718</v>
      </c>
      <c r="P95" s="300" t="str">
        <f>CHAR(39)</f>
        <v>'</v>
      </c>
      <c r="Q95" t="str">
        <f>TRIM(SUBSTITUTE(IF(C95=0,"",C95),"'","''"))</f>
        <v>Allen Mitchell</v>
      </c>
      <c r="R95" s="300" t="str">
        <f>CHAR(39)</f>
        <v>'</v>
      </c>
      <c r="S95" t="s">
        <v>719</v>
      </c>
      <c r="T95" s="300" t="str">
        <f>CHAR(39)</f>
        <v>'</v>
      </c>
      <c r="U95" t="str">
        <f>TRIM(SUBSTITUTE(A95,"'","''"))</f>
        <v>SOUTHEAST CORNER RACKS</v>
      </c>
      <c r="V95" s="300" t="str">
        <f>CHAR(39)</f>
        <v>'</v>
      </c>
      <c r="W95" t="s">
        <v>720</v>
      </c>
      <c r="X95">
        <f>IF(ISNUMBER(B95),B95,CHAR(39)&amp;TRIM(B95)&amp;CHAR(39))</f>
        <v>4016</v>
      </c>
      <c r="Z95" t="str">
        <f>_xlfn.CONCAT(G95:X95)</f>
        <v>update [dbo].[Inventory] Set [Auditor]  = 'Breydan Weston',[Building]  = 'South Building',[Writer] = 'Allen Mitchell',[AreaDesc] = 'SOUTHEAST CORNER RACKS' where [Area]=4016</v>
      </c>
      <c r="AB95" t="s">
        <v>819</v>
      </c>
    </row>
    <row r="96" spans="1:28">
      <c r="A96" t="s">
        <v>358</v>
      </c>
      <c r="B96">
        <v>4018</v>
      </c>
      <c r="C96" t="s">
        <v>359</v>
      </c>
      <c r="D96" t="s">
        <v>361</v>
      </c>
      <c r="E96" t="s">
        <v>803</v>
      </c>
      <c r="G96" t="s">
        <v>716</v>
      </c>
      <c r="H96" s="300" t="str">
        <f>CHAR(39)</f>
        <v>'</v>
      </c>
      <c r="I96" t="str">
        <f>TRIM(SUBSTITUTE(D96,"'","''"))</f>
        <v>Cory Clinton</v>
      </c>
      <c r="J96" s="300" t="str">
        <f>CHAR(39)</f>
        <v>'</v>
      </c>
      <c r="K96" t="s">
        <v>717</v>
      </c>
      <c r="L96" s="300" t="str">
        <f>CHAR(39)</f>
        <v>'</v>
      </c>
      <c r="M96" t="str">
        <f>TRIM(E96)</f>
        <v>South Building</v>
      </c>
      <c r="N96" s="300" t="str">
        <f>CHAR(39)</f>
        <v>'</v>
      </c>
      <c r="O96" t="s">
        <v>718</v>
      </c>
      <c r="P96" s="300" t="str">
        <f>CHAR(39)</f>
        <v>'</v>
      </c>
      <c r="Q96" t="str">
        <f>TRIM(SUBSTITUTE(IF(C96=0,"",C96),"'","''"))</f>
        <v>Anthony Suski (Rick)</v>
      </c>
      <c r="R96" s="300" t="str">
        <f>CHAR(39)</f>
        <v>'</v>
      </c>
      <c r="S96" t="s">
        <v>719</v>
      </c>
      <c r="T96" s="300" t="str">
        <f>CHAR(39)</f>
        <v>'</v>
      </c>
      <c r="U96" t="str">
        <f>TRIM(SUBSTITUTE(A96,"'","''"))</f>
        <v>FIBERGLASS</v>
      </c>
      <c r="V96" s="300" t="str">
        <f>CHAR(39)</f>
        <v>'</v>
      </c>
      <c r="W96" t="s">
        <v>720</v>
      </c>
      <c r="X96">
        <f>IF(ISNUMBER(B96),B96,CHAR(39)&amp;TRIM(B96)&amp;CHAR(39))</f>
        <v>4018</v>
      </c>
      <c r="Z96" t="str">
        <f>_xlfn.CONCAT(G96:X96)</f>
        <v>update [dbo].[Inventory] Set [Auditor]  = 'Cory Clinton',[Building]  = 'South Building',[Writer] = 'Anthony Suski (Rick)',[AreaDesc] = 'FIBERGLASS' where [Area]=4018</v>
      </c>
      <c r="AB96" t="s">
        <v>820</v>
      </c>
    </row>
    <row r="97" spans="1:28">
      <c r="A97" t="s">
        <v>362</v>
      </c>
      <c r="B97">
        <v>4019</v>
      </c>
      <c r="C97" t="s">
        <v>363</v>
      </c>
      <c r="D97" t="s">
        <v>342</v>
      </c>
      <c r="E97" t="s">
        <v>803</v>
      </c>
      <c r="G97" t="s">
        <v>716</v>
      </c>
      <c r="H97" s="300" t="str">
        <f>CHAR(39)</f>
        <v>'</v>
      </c>
      <c r="I97" t="str">
        <f>TRIM(SUBSTITUTE(D97,"'","''"))</f>
        <v>Jake Grove</v>
      </c>
      <c r="J97" s="300" t="str">
        <f>CHAR(39)</f>
        <v>'</v>
      </c>
      <c r="K97" t="s">
        <v>717</v>
      </c>
      <c r="L97" s="300" t="str">
        <f>CHAR(39)</f>
        <v>'</v>
      </c>
      <c r="M97" t="str">
        <f>TRIM(E97)</f>
        <v>South Building</v>
      </c>
      <c r="N97" s="300" t="str">
        <f>CHAR(39)</f>
        <v>'</v>
      </c>
      <c r="O97" t="s">
        <v>718</v>
      </c>
      <c r="P97" s="300" t="str">
        <f>CHAR(39)</f>
        <v>'</v>
      </c>
      <c r="Q97" t="str">
        <f>TRIM(SUBSTITUTE(IF(C97=0,"",C97),"'","''"))</f>
        <v>Charles Onyon</v>
      </c>
      <c r="R97" s="300" t="str">
        <f>CHAR(39)</f>
        <v>'</v>
      </c>
      <c r="S97" t="s">
        <v>719</v>
      </c>
      <c r="T97" s="300" t="str">
        <f>CHAR(39)</f>
        <v>'</v>
      </c>
      <c r="U97" t="str">
        <f>TRIM(SUBSTITUTE(A97,"'","''"))</f>
        <v>MISC. TAYLOR MADE WINDSHEILDS</v>
      </c>
      <c r="V97" s="300" t="str">
        <f>CHAR(39)</f>
        <v>'</v>
      </c>
      <c r="W97" t="s">
        <v>720</v>
      </c>
      <c r="X97">
        <f>IF(ISNUMBER(B97),B97,CHAR(39)&amp;TRIM(B97)&amp;CHAR(39))</f>
        <v>4019</v>
      </c>
      <c r="Z97" t="str">
        <f>_xlfn.CONCAT(G97:X97)</f>
        <v>update [dbo].[Inventory] Set [Auditor]  = 'Jake Grove',[Building]  = 'South Building',[Writer] = 'Charles Onyon',[AreaDesc] = 'MISC. TAYLOR MADE WINDSHEILDS' where [Area]=4019</v>
      </c>
      <c r="AB97" t="s">
        <v>821</v>
      </c>
    </row>
    <row r="98" spans="1:28">
      <c r="A98" t="s">
        <v>365</v>
      </c>
      <c r="B98">
        <v>4020</v>
      </c>
      <c r="C98" t="s">
        <v>366</v>
      </c>
      <c r="D98" t="s">
        <v>368</v>
      </c>
      <c r="E98" t="s">
        <v>803</v>
      </c>
      <c r="G98" t="s">
        <v>716</v>
      </c>
      <c r="H98" s="300" t="str">
        <f>CHAR(39)</f>
        <v>'</v>
      </c>
      <c r="I98" t="str">
        <f>TRIM(SUBSTITUTE(D98,"'","''"))</f>
        <v>Jaileen Bibian</v>
      </c>
      <c r="J98" s="300" t="str">
        <f>CHAR(39)</f>
        <v>'</v>
      </c>
      <c r="K98" t="s">
        <v>717</v>
      </c>
      <c r="L98" s="300" t="str">
        <f>CHAR(39)</f>
        <v>'</v>
      </c>
      <c r="M98" t="str">
        <f>TRIM(E98)</f>
        <v>South Building</v>
      </c>
      <c r="N98" s="300" t="str">
        <f>CHAR(39)</f>
        <v>'</v>
      </c>
      <c r="O98" t="s">
        <v>718</v>
      </c>
      <c r="P98" s="300" t="str">
        <f>CHAR(39)</f>
        <v>'</v>
      </c>
      <c r="Q98" t="str">
        <f>TRIM(SUBSTITUTE(IF(C98=0,"",C98),"'","''"))</f>
        <v>Shania Stoller</v>
      </c>
      <c r="R98" s="300" t="str">
        <f>CHAR(39)</f>
        <v>'</v>
      </c>
      <c r="S98" t="s">
        <v>719</v>
      </c>
      <c r="T98" s="300" t="str">
        <f>CHAR(39)</f>
        <v>'</v>
      </c>
      <c r="U98" t="str">
        <f>TRIM(SUBSTITUTE(A98,"'","''"))</f>
        <v>MAIN HARNESSES</v>
      </c>
      <c r="V98" s="300" t="str">
        <f>CHAR(39)</f>
        <v>'</v>
      </c>
      <c r="W98" t="s">
        <v>720</v>
      </c>
      <c r="X98">
        <f>IF(ISNUMBER(B98),B98,CHAR(39)&amp;TRIM(B98)&amp;CHAR(39))</f>
        <v>4020</v>
      </c>
      <c r="Z98" t="str">
        <f>_xlfn.CONCAT(G98:X98)</f>
        <v>update [dbo].[Inventory] Set [Auditor]  = 'Jaileen Bibian',[Building]  = 'South Building',[Writer] = 'Shania Stoller',[AreaDesc] = 'MAIN HARNESSES' where [Area]=4020</v>
      </c>
      <c r="AB98" t="s">
        <v>822</v>
      </c>
    </row>
    <row r="99" spans="1:28">
      <c r="A99" t="s">
        <v>358</v>
      </c>
      <c r="B99">
        <v>4021</v>
      </c>
      <c r="C99" t="s">
        <v>359</v>
      </c>
      <c r="D99" t="s">
        <v>361</v>
      </c>
      <c r="E99" t="s">
        <v>803</v>
      </c>
      <c r="G99" t="s">
        <v>716</v>
      </c>
      <c r="H99" s="300" t="str">
        <f>CHAR(39)</f>
        <v>'</v>
      </c>
      <c r="I99" t="str">
        <f>TRIM(SUBSTITUTE(D99,"'","''"))</f>
        <v>Cory Clinton</v>
      </c>
      <c r="J99" s="300" t="str">
        <f>CHAR(39)</f>
        <v>'</v>
      </c>
      <c r="K99" t="s">
        <v>717</v>
      </c>
      <c r="L99" s="300" t="str">
        <f>CHAR(39)</f>
        <v>'</v>
      </c>
      <c r="M99" t="str">
        <f>TRIM(E99)</f>
        <v>South Building</v>
      </c>
      <c r="N99" s="300" t="str">
        <f>CHAR(39)</f>
        <v>'</v>
      </c>
      <c r="O99" t="s">
        <v>718</v>
      </c>
      <c r="P99" s="300" t="str">
        <f>CHAR(39)</f>
        <v>'</v>
      </c>
      <c r="Q99" t="str">
        <f>TRIM(SUBSTITUTE(IF(C99=0,"",C99),"'","''"))</f>
        <v>Anthony Suski (Rick)</v>
      </c>
      <c r="R99" s="300" t="str">
        <f>CHAR(39)</f>
        <v>'</v>
      </c>
      <c r="S99" t="s">
        <v>719</v>
      </c>
      <c r="T99" s="300" t="str">
        <f>CHAR(39)</f>
        <v>'</v>
      </c>
      <c r="U99" t="str">
        <f>TRIM(SUBSTITUTE(A99,"'","''"))</f>
        <v>FIBERGLASS</v>
      </c>
      <c r="V99" s="300" t="str">
        <f>CHAR(39)</f>
        <v>'</v>
      </c>
      <c r="W99" t="s">
        <v>720</v>
      </c>
      <c r="X99">
        <f>IF(ISNUMBER(B99),B99,CHAR(39)&amp;TRIM(B99)&amp;CHAR(39))</f>
        <v>4021</v>
      </c>
      <c r="Z99" t="str">
        <f>_xlfn.CONCAT(G99:X99)</f>
        <v>update [dbo].[Inventory] Set [Auditor]  = 'Cory Clinton',[Building]  = 'South Building',[Writer] = 'Anthony Suski (Rick)',[AreaDesc] = 'FIBERGLASS' where [Area]=4021</v>
      </c>
      <c r="AB99" t="s">
        <v>823</v>
      </c>
    </row>
    <row r="100" spans="1:28">
      <c r="A100" t="s">
        <v>369</v>
      </c>
      <c r="B100">
        <v>4022</v>
      </c>
      <c r="C100" t="s">
        <v>366</v>
      </c>
      <c r="D100" t="s">
        <v>347</v>
      </c>
      <c r="E100" t="s">
        <v>803</v>
      </c>
      <c r="G100" t="s">
        <v>716</v>
      </c>
      <c r="H100" s="300" t="str">
        <f>CHAR(39)</f>
        <v>'</v>
      </c>
      <c r="I100" t="str">
        <f>TRIM(SUBSTITUTE(D100,"'","''"))</f>
        <v>AJ Garber</v>
      </c>
      <c r="J100" s="300" t="str">
        <f>CHAR(39)</f>
        <v>'</v>
      </c>
      <c r="K100" t="s">
        <v>717</v>
      </c>
      <c r="L100" s="300" t="str">
        <f>CHAR(39)</f>
        <v>'</v>
      </c>
      <c r="M100" t="str">
        <f>TRIM(E100)</f>
        <v>South Building</v>
      </c>
      <c r="N100" s="300" t="str">
        <f>CHAR(39)</f>
        <v>'</v>
      </c>
      <c r="O100" t="s">
        <v>718</v>
      </c>
      <c r="P100" s="300" t="str">
        <f>CHAR(39)</f>
        <v>'</v>
      </c>
      <c r="Q100" t="str">
        <f>TRIM(SUBSTITUTE(IF(C100=0,"",C100),"'","''"))</f>
        <v>Shania Stoller</v>
      </c>
      <c r="R100" s="300" t="str">
        <f>CHAR(39)</f>
        <v>'</v>
      </c>
      <c r="S100" t="s">
        <v>719</v>
      </c>
      <c r="T100" s="300" t="str">
        <f>CHAR(39)</f>
        <v>'</v>
      </c>
      <c r="U100" t="str">
        <f>TRIM(SUBSTITUTE(A100,"'","''"))</f>
        <v>MARSON</v>
      </c>
      <c r="V100" s="300" t="str">
        <f>CHAR(39)</f>
        <v>'</v>
      </c>
      <c r="W100" t="s">
        <v>720</v>
      </c>
      <c r="X100">
        <f>IF(ISNUMBER(B100),B100,CHAR(39)&amp;TRIM(B100)&amp;CHAR(39))</f>
        <v>4022</v>
      </c>
      <c r="Z100" t="str">
        <f>_xlfn.CONCAT(G100:X100)</f>
        <v>update [dbo].[Inventory] Set [Auditor]  = 'AJ Garber',[Building]  = 'South Building',[Writer] = 'Shania Stoller',[AreaDesc] = 'MARSON' where [Area]=4022</v>
      </c>
      <c r="AB100" t="s">
        <v>824</v>
      </c>
    </row>
    <row r="101" spans="1:28">
      <c r="A101" t="s">
        <v>370</v>
      </c>
      <c r="B101">
        <v>4030</v>
      </c>
      <c r="C101" t="s">
        <v>371</v>
      </c>
      <c r="D101" t="s">
        <v>373</v>
      </c>
      <c r="E101" t="s">
        <v>803</v>
      </c>
      <c r="G101" t="s">
        <v>716</v>
      </c>
      <c r="H101" s="300" t="str">
        <f>CHAR(39)</f>
        <v>'</v>
      </c>
      <c r="I101" t="str">
        <f>TRIM(SUBSTITUTE(D101,"'","''"))</f>
        <v>Justin Klopsch</v>
      </c>
      <c r="J101" s="300" t="str">
        <f>CHAR(39)</f>
        <v>'</v>
      </c>
      <c r="K101" t="s">
        <v>717</v>
      </c>
      <c r="L101" s="300" t="str">
        <f>CHAR(39)</f>
        <v>'</v>
      </c>
      <c r="M101" t="str">
        <f>TRIM(E101)</f>
        <v>South Building</v>
      </c>
      <c r="N101" s="300" t="str">
        <f>CHAR(39)</f>
        <v>'</v>
      </c>
      <c r="O101" t="s">
        <v>718</v>
      </c>
      <c r="P101" s="300" t="str">
        <f>CHAR(39)</f>
        <v>'</v>
      </c>
      <c r="Q101" t="str">
        <f>TRIM(SUBSTITUTE(IF(C101=0,"",C101),"'","''"))</f>
        <v>Lois Skeels</v>
      </c>
      <c r="R101" s="300" t="str">
        <f>CHAR(39)</f>
        <v>'</v>
      </c>
      <c r="S101" t="s">
        <v>719</v>
      </c>
      <c r="T101" s="300" t="str">
        <f>CHAR(39)</f>
        <v>'</v>
      </c>
      <c r="U101" t="str">
        <f>TRIM(SUBSTITUTE(A101,"'","''"))</f>
        <v>MISC. FURNITURE SUPPLIES</v>
      </c>
      <c r="V101" s="300" t="str">
        <f>CHAR(39)</f>
        <v>'</v>
      </c>
      <c r="W101" t="s">
        <v>720</v>
      </c>
      <c r="X101">
        <f>IF(ISNUMBER(B101),B101,CHAR(39)&amp;TRIM(B101)&amp;CHAR(39))</f>
        <v>4030</v>
      </c>
      <c r="Z101" t="str">
        <f>_xlfn.CONCAT(G101:X101)</f>
        <v>update [dbo].[Inventory] Set [Auditor]  = 'Justin Klopsch',[Building]  = 'South Building',[Writer] = 'Lois Skeels',[AreaDesc] = 'MISC. FURNITURE SUPPLIES' where [Area]=4030</v>
      </c>
      <c r="AB101" t="s">
        <v>825</v>
      </c>
    </row>
    <row r="102" spans="1:28">
      <c r="A102" t="s">
        <v>374</v>
      </c>
      <c r="B102">
        <v>4031</v>
      </c>
      <c r="C102" t="s">
        <v>375</v>
      </c>
      <c r="D102" t="s">
        <v>376</v>
      </c>
      <c r="E102" t="s">
        <v>803</v>
      </c>
      <c r="G102" t="s">
        <v>716</v>
      </c>
      <c r="H102" s="300" t="str">
        <f>CHAR(39)</f>
        <v>'</v>
      </c>
      <c r="I102" t="str">
        <f>TRIM(SUBSTITUTE(D102,"'","''"))</f>
        <v>Nick Cruz</v>
      </c>
      <c r="J102" s="300" t="str">
        <f>CHAR(39)</f>
        <v>'</v>
      </c>
      <c r="K102" t="s">
        <v>717</v>
      </c>
      <c r="L102" s="300" t="str">
        <f>CHAR(39)</f>
        <v>'</v>
      </c>
      <c r="M102" t="str">
        <f>TRIM(E102)</f>
        <v>South Building</v>
      </c>
      <c r="N102" s="300" t="str">
        <f>CHAR(39)</f>
        <v>'</v>
      </c>
      <c r="O102" t="s">
        <v>718</v>
      </c>
      <c r="P102" s="300" t="str">
        <f>CHAR(39)</f>
        <v>'</v>
      </c>
      <c r="Q102" t="str">
        <f>TRIM(SUBSTITUTE(IF(C102=0,"",C102),"'","''"))</f>
        <v>Mason Crail</v>
      </c>
      <c r="R102" s="300" t="str">
        <f>CHAR(39)</f>
        <v>'</v>
      </c>
      <c r="S102" t="s">
        <v>719</v>
      </c>
      <c r="T102" s="300" t="str">
        <f>CHAR(39)</f>
        <v>'</v>
      </c>
      <c r="U102" t="str">
        <f>TRIM(SUBSTITUTE(A102,"'","''"))</f>
        <v>FURNITURE</v>
      </c>
      <c r="V102" s="300" t="str">
        <f>CHAR(39)</f>
        <v>'</v>
      </c>
      <c r="W102" t="s">
        <v>720</v>
      </c>
      <c r="X102">
        <f>IF(ISNUMBER(B102),B102,CHAR(39)&amp;TRIM(B102)&amp;CHAR(39))</f>
        <v>4031</v>
      </c>
      <c r="Z102" t="str">
        <f>_xlfn.CONCAT(G102:X102)</f>
        <v>update [dbo].[Inventory] Set [Auditor]  = 'Nick Cruz',[Building]  = 'South Building',[Writer] = 'Mason Crail',[AreaDesc] = 'FURNITURE' where [Area]=4031</v>
      </c>
      <c r="AB102" t="s">
        <v>826</v>
      </c>
    </row>
    <row r="103" spans="1:28">
      <c r="A103" t="s">
        <v>370</v>
      </c>
      <c r="B103">
        <v>4035</v>
      </c>
      <c r="C103" t="s">
        <v>371</v>
      </c>
      <c r="D103" t="s">
        <v>373</v>
      </c>
      <c r="E103" t="s">
        <v>803</v>
      </c>
      <c r="G103" t="s">
        <v>716</v>
      </c>
      <c r="H103" s="300" t="str">
        <f>CHAR(39)</f>
        <v>'</v>
      </c>
      <c r="I103" t="str">
        <f>TRIM(SUBSTITUTE(D103,"'","''"))</f>
        <v>Justin Klopsch</v>
      </c>
      <c r="J103" s="300" t="str">
        <f>CHAR(39)</f>
        <v>'</v>
      </c>
      <c r="K103" t="s">
        <v>717</v>
      </c>
      <c r="L103" s="300" t="str">
        <f>CHAR(39)</f>
        <v>'</v>
      </c>
      <c r="M103" t="str">
        <f>TRIM(E103)</f>
        <v>South Building</v>
      </c>
      <c r="N103" s="300" t="str">
        <f>CHAR(39)</f>
        <v>'</v>
      </c>
      <c r="O103" t="s">
        <v>718</v>
      </c>
      <c r="P103" s="300" t="str">
        <f>CHAR(39)</f>
        <v>'</v>
      </c>
      <c r="Q103" t="str">
        <f>TRIM(SUBSTITUTE(IF(C103=0,"",C103),"'","''"))</f>
        <v>Lois Skeels</v>
      </c>
      <c r="R103" s="300" t="str">
        <f>CHAR(39)</f>
        <v>'</v>
      </c>
      <c r="S103" t="s">
        <v>719</v>
      </c>
      <c r="T103" s="300" t="str">
        <f>CHAR(39)</f>
        <v>'</v>
      </c>
      <c r="U103" t="str">
        <f>TRIM(SUBSTITUTE(A103,"'","''"))</f>
        <v>MISC. FURNITURE SUPPLIES</v>
      </c>
      <c r="V103" s="300" t="str">
        <f>CHAR(39)</f>
        <v>'</v>
      </c>
      <c r="W103" t="s">
        <v>720</v>
      </c>
      <c r="X103">
        <f>IF(ISNUMBER(B103),B103,CHAR(39)&amp;TRIM(B103)&amp;CHAR(39))</f>
        <v>4035</v>
      </c>
      <c r="Z103" t="str">
        <f>_xlfn.CONCAT(G103:X103)</f>
        <v>update [dbo].[Inventory] Set [Auditor]  = 'Justin Klopsch',[Building]  = 'South Building',[Writer] = 'Lois Skeels',[AreaDesc] = 'MISC. FURNITURE SUPPLIES' where [Area]=4035</v>
      </c>
      <c r="AB103" t="s">
        <v>827</v>
      </c>
    </row>
    <row r="104" spans="1:28">
      <c r="A104" t="s">
        <v>377</v>
      </c>
      <c r="B104">
        <v>4036</v>
      </c>
      <c r="C104" t="s">
        <v>378</v>
      </c>
      <c r="D104" t="s">
        <v>351</v>
      </c>
      <c r="E104" t="s">
        <v>803</v>
      </c>
      <c r="G104" t="s">
        <v>716</v>
      </c>
      <c r="H104" s="300" t="str">
        <f>CHAR(39)</f>
        <v>'</v>
      </c>
      <c r="I104" t="str">
        <f>TRIM(SUBSTITUTE(D104,"'","''"))</f>
        <v>Francisco Santiago</v>
      </c>
      <c r="J104" s="300" t="str">
        <f>CHAR(39)</f>
        <v>'</v>
      </c>
      <c r="K104" t="s">
        <v>717</v>
      </c>
      <c r="L104" s="300" t="str">
        <f>CHAR(39)</f>
        <v>'</v>
      </c>
      <c r="M104" t="str">
        <f>TRIM(E104)</f>
        <v>South Building</v>
      </c>
      <c r="N104" s="300" t="str">
        <f>CHAR(39)</f>
        <v>'</v>
      </c>
      <c r="O104" t="s">
        <v>718</v>
      </c>
      <c r="P104" s="300" t="str">
        <f>CHAR(39)</f>
        <v>'</v>
      </c>
      <c r="Q104" t="str">
        <f>TRIM(SUBSTITUTE(IF(C104=0,"",C104),"'","''"))</f>
        <v>Austin Chinn</v>
      </c>
      <c r="R104" s="300" t="str">
        <f>CHAR(39)</f>
        <v>'</v>
      </c>
      <c r="S104" t="s">
        <v>719</v>
      </c>
      <c r="T104" s="300" t="str">
        <f>CHAR(39)</f>
        <v>'</v>
      </c>
      <c r="U104" t="str">
        <f>TRIM(SUBSTITUTE(A104,"'","''"))</f>
        <v>POINT OF USE</v>
      </c>
      <c r="V104" s="300" t="str">
        <f>CHAR(39)</f>
        <v>'</v>
      </c>
      <c r="W104" t="s">
        <v>720</v>
      </c>
      <c r="X104">
        <f>IF(ISNUMBER(B104),B104,CHAR(39)&amp;TRIM(B104)&amp;CHAR(39))</f>
        <v>4036</v>
      </c>
      <c r="Z104" t="str">
        <f>_xlfn.CONCAT(G104:X104)</f>
        <v>update [dbo].[Inventory] Set [Auditor]  = 'Francisco Santiago',[Building]  = 'South Building',[Writer] = 'Austin Chinn',[AreaDesc] = 'POINT OF USE' where [Area]=4036</v>
      </c>
      <c r="AB104" t="s">
        <v>828</v>
      </c>
    </row>
    <row r="105" spans="1:28">
      <c r="A105" t="s">
        <v>377</v>
      </c>
      <c r="B105">
        <v>4037</v>
      </c>
      <c r="C105" t="s">
        <v>380</v>
      </c>
      <c r="D105" t="s">
        <v>368</v>
      </c>
      <c r="E105" t="s">
        <v>803</v>
      </c>
      <c r="G105" t="s">
        <v>716</v>
      </c>
      <c r="H105" s="300" t="str">
        <f>CHAR(39)</f>
        <v>'</v>
      </c>
      <c r="I105" t="str">
        <f>TRIM(SUBSTITUTE(D105,"'","''"))</f>
        <v>Jaileen Bibian</v>
      </c>
      <c r="J105" s="300" t="str">
        <f>CHAR(39)</f>
        <v>'</v>
      </c>
      <c r="K105" t="s">
        <v>717</v>
      </c>
      <c r="L105" s="300" t="str">
        <f>CHAR(39)</f>
        <v>'</v>
      </c>
      <c r="M105" t="str">
        <f>TRIM(E105)</f>
        <v>South Building</v>
      </c>
      <c r="N105" s="300" t="str">
        <f>CHAR(39)</f>
        <v>'</v>
      </c>
      <c r="O105" t="s">
        <v>718</v>
      </c>
      <c r="P105" s="300" t="str">
        <f>CHAR(39)</f>
        <v>'</v>
      </c>
      <c r="Q105" t="str">
        <f>TRIM(SUBSTITUTE(IF(C105=0,"",C105),"'","''"))</f>
        <v>Kayla Bowlby</v>
      </c>
      <c r="R105" s="300" t="str">
        <f>CHAR(39)</f>
        <v>'</v>
      </c>
      <c r="S105" t="s">
        <v>719</v>
      </c>
      <c r="T105" s="300" t="str">
        <f>CHAR(39)</f>
        <v>'</v>
      </c>
      <c r="U105" t="str">
        <f>TRIM(SUBSTITUTE(A105,"'","''"))</f>
        <v>POINT OF USE</v>
      </c>
      <c r="V105" s="300" t="str">
        <f>CHAR(39)</f>
        <v>'</v>
      </c>
      <c r="W105" t="s">
        <v>720</v>
      </c>
      <c r="X105">
        <f>IF(ISNUMBER(B105),B105,CHAR(39)&amp;TRIM(B105)&amp;CHAR(39))</f>
        <v>4037</v>
      </c>
      <c r="Z105" t="str">
        <f>_xlfn.CONCAT(G105:X105)</f>
        <v>update [dbo].[Inventory] Set [Auditor]  = 'Jaileen Bibian',[Building]  = 'South Building',[Writer] = 'Kayla Bowlby',[AreaDesc] = 'POINT OF USE' where [Area]=4037</v>
      </c>
      <c r="AB105" t="s">
        <v>829</v>
      </c>
    </row>
    <row r="106" spans="1:28">
      <c r="A106" t="s">
        <v>382</v>
      </c>
      <c r="B106">
        <v>4040</v>
      </c>
      <c r="C106" t="s">
        <v>383</v>
      </c>
      <c r="D106" t="s">
        <v>385</v>
      </c>
      <c r="E106" t="s">
        <v>803</v>
      </c>
      <c r="G106" t="s">
        <v>716</v>
      </c>
      <c r="H106" s="300" t="str">
        <f>CHAR(39)</f>
        <v>'</v>
      </c>
      <c r="I106" t="str">
        <f>TRIM(SUBSTITUTE(D106,"'","''"))</f>
        <v>Keith Krause</v>
      </c>
      <c r="J106" s="300" t="str">
        <f>CHAR(39)</f>
        <v>'</v>
      </c>
      <c r="K106" t="s">
        <v>717</v>
      </c>
      <c r="L106" s="300" t="str">
        <f>CHAR(39)</f>
        <v>'</v>
      </c>
      <c r="M106" t="str">
        <f>TRIM(E106)</f>
        <v>South Building</v>
      </c>
      <c r="N106" s="300" t="str">
        <f>CHAR(39)</f>
        <v>'</v>
      </c>
      <c r="O106" t="s">
        <v>718</v>
      </c>
      <c r="P106" s="300" t="str">
        <f>CHAR(39)</f>
        <v>'</v>
      </c>
      <c r="Q106" t="str">
        <f>TRIM(SUBSTITUTE(IF(C106=0,"",C106),"'","''"))</f>
        <v>Cornell Connor</v>
      </c>
      <c r="R106" s="300" t="str">
        <f>CHAR(39)</f>
        <v>'</v>
      </c>
      <c r="S106" t="s">
        <v>719</v>
      </c>
      <c r="T106" s="300" t="str">
        <f>CHAR(39)</f>
        <v>'</v>
      </c>
      <c r="U106" t="str">
        <f>TRIM(SUBSTITUTE(A106,"'","''"))</f>
        <v>DECK TRIM/CROSS-MEMBERS</v>
      </c>
      <c r="V106" s="300" t="str">
        <f>CHAR(39)</f>
        <v>'</v>
      </c>
      <c r="W106" t="s">
        <v>720</v>
      </c>
      <c r="X106">
        <f>IF(ISNUMBER(B106),B106,CHAR(39)&amp;TRIM(B106)&amp;CHAR(39))</f>
        <v>4040</v>
      </c>
      <c r="Z106" t="str">
        <f>_xlfn.CONCAT(G106:X106)</f>
        <v>update [dbo].[Inventory] Set [Auditor]  = 'Keith Krause',[Building]  = 'South Building',[Writer] = 'Cornell Connor',[AreaDesc] = 'DECK TRIM/CROSS-MEMBERS' where [Area]=4040</v>
      </c>
      <c r="AB106" t="s">
        <v>830</v>
      </c>
    </row>
    <row r="107" spans="1:28">
      <c r="A107" t="s">
        <v>386</v>
      </c>
      <c r="B107">
        <v>4041</v>
      </c>
      <c r="C107" t="s">
        <v>332</v>
      </c>
      <c r="D107" t="s">
        <v>385</v>
      </c>
      <c r="E107" t="s">
        <v>803</v>
      </c>
      <c r="G107" t="s">
        <v>716</v>
      </c>
      <c r="H107" s="300" t="str">
        <f>CHAR(39)</f>
        <v>'</v>
      </c>
      <c r="I107" t="str">
        <f>TRIM(SUBSTITUTE(D107,"'","''"))</f>
        <v>Keith Krause</v>
      </c>
      <c r="J107" s="300" t="str">
        <f>CHAR(39)</f>
        <v>'</v>
      </c>
      <c r="K107" t="s">
        <v>717</v>
      </c>
      <c r="L107" s="300" t="str">
        <f>CHAR(39)</f>
        <v>'</v>
      </c>
      <c r="M107" t="str">
        <f>TRIM(E107)</f>
        <v>South Building</v>
      </c>
      <c r="N107" s="300" t="str">
        <f>CHAR(39)</f>
        <v>'</v>
      </c>
      <c r="O107" t="s">
        <v>718</v>
      </c>
      <c r="P107" s="300" t="str">
        <f>CHAR(39)</f>
        <v>'</v>
      </c>
      <c r="Q107" t="str">
        <f>TRIM(SUBSTITUTE(IF(C107=0,"",C107),"'","''"))</f>
        <v>John Hall</v>
      </c>
      <c r="R107" s="300" t="str">
        <f>CHAR(39)</f>
        <v>'</v>
      </c>
      <c r="S107" t="s">
        <v>719</v>
      </c>
      <c r="T107" s="300" t="str">
        <f>CHAR(39)</f>
        <v>'</v>
      </c>
      <c r="U107" t="str">
        <f>TRIM(SUBSTITUTE(A107,"'","''"))</f>
        <v>Q FRAMES/RAILS/TUBS/DOCK/ARCHES</v>
      </c>
      <c r="V107" s="300" t="str">
        <f>CHAR(39)</f>
        <v>'</v>
      </c>
      <c r="W107" t="s">
        <v>720</v>
      </c>
      <c r="X107">
        <f>IF(ISNUMBER(B107),B107,CHAR(39)&amp;TRIM(B107)&amp;CHAR(39))</f>
        <v>4041</v>
      </c>
      <c r="Z107" t="str">
        <f>_xlfn.CONCAT(G107:X107)</f>
        <v>update [dbo].[Inventory] Set [Auditor]  = 'Keith Krause',[Building]  = 'South Building',[Writer] = 'John Hall',[AreaDesc] = 'Q FRAMES/RAILS/TUBS/DOCK/ARCHES' where [Area]=4041</v>
      </c>
      <c r="AB107" t="s">
        <v>831</v>
      </c>
    </row>
    <row r="108" spans="1:28">
      <c r="A108" t="s">
        <v>396</v>
      </c>
      <c r="B108">
        <v>5000</v>
      </c>
      <c r="C108" t="s">
        <v>397</v>
      </c>
      <c r="D108" t="s">
        <v>399</v>
      </c>
      <c r="E108" t="s">
        <v>832</v>
      </c>
      <c r="G108" t="s">
        <v>716</v>
      </c>
      <c r="H108" s="300" t="str">
        <f>CHAR(39)</f>
        <v>'</v>
      </c>
      <c r="I108" t="str">
        <f>TRIM(SUBSTITUTE(D108,"'","''"))</f>
        <v>Bob Cummins (S)</v>
      </c>
      <c r="J108" s="300" t="str">
        <f>CHAR(39)</f>
        <v>'</v>
      </c>
      <c r="K108" t="s">
        <v>717</v>
      </c>
      <c r="L108" s="300" t="str">
        <f>CHAR(39)</f>
        <v>'</v>
      </c>
      <c r="M108" t="str">
        <f>TRIM(E108)</f>
        <v>415 Building</v>
      </c>
      <c r="N108" s="300" t="str">
        <f>CHAR(39)</f>
        <v>'</v>
      </c>
      <c r="O108" t="s">
        <v>718</v>
      </c>
      <c r="P108" s="300" t="str">
        <f>CHAR(39)</f>
        <v>'</v>
      </c>
      <c r="Q108" t="str">
        <f>TRIM(SUBSTITUTE(IF(C108=0,"",C108),"'","''"))</f>
        <v>Stephanie Dunker (M)</v>
      </c>
      <c r="R108" s="300" t="str">
        <f>CHAR(39)</f>
        <v>'</v>
      </c>
      <c r="S108" t="s">
        <v>719</v>
      </c>
      <c r="T108" s="300" t="str">
        <f>CHAR(39)</f>
        <v>'</v>
      </c>
      <c r="U108" t="str">
        <f>TRIM(SUBSTITUTE(A108,"'","''"))</f>
        <v>LINE CONSOLE KITTING</v>
      </c>
      <c r="V108" s="300" t="str">
        <f>CHAR(39)</f>
        <v>'</v>
      </c>
      <c r="W108" t="s">
        <v>720</v>
      </c>
      <c r="X108">
        <f>IF(ISNUMBER(B108),B108,CHAR(39)&amp;TRIM(B108)&amp;CHAR(39))</f>
        <v>5000</v>
      </c>
      <c r="Z108" t="str">
        <f>_xlfn.CONCAT(G108:X108)</f>
        <v>update [dbo].[Inventory] Set [Auditor]  = 'Bob Cummins (S)',[Building]  = '415 Building',[Writer] = 'Stephanie Dunker (M)',[AreaDesc] = 'LINE CONSOLE KITTING' where [Area]=5000</v>
      </c>
      <c r="AB108" t="s">
        <v>833</v>
      </c>
    </row>
    <row r="109" spans="1:28">
      <c r="A109" t="s">
        <v>400</v>
      </c>
      <c r="B109">
        <v>5001</v>
      </c>
      <c r="C109" t="s">
        <v>401</v>
      </c>
      <c r="D109" t="s">
        <v>399</v>
      </c>
      <c r="E109" t="s">
        <v>832</v>
      </c>
      <c r="G109" t="s">
        <v>716</v>
      </c>
      <c r="H109" s="300" t="str">
        <f>CHAR(39)</f>
        <v>'</v>
      </c>
      <c r="I109" t="str">
        <f>TRIM(SUBSTITUTE(D109,"'","''"))</f>
        <v>Bob Cummins (S)</v>
      </c>
      <c r="J109" s="300" t="str">
        <f>CHAR(39)</f>
        <v>'</v>
      </c>
      <c r="K109" t="s">
        <v>717</v>
      </c>
      <c r="L109" s="300" t="str">
        <f>CHAR(39)</f>
        <v>'</v>
      </c>
      <c r="M109" t="str">
        <f>TRIM(E109)</f>
        <v>415 Building</v>
      </c>
      <c r="N109" s="300" t="str">
        <f>CHAR(39)</f>
        <v>'</v>
      </c>
      <c r="O109" t="s">
        <v>718</v>
      </c>
      <c r="P109" s="300" t="str">
        <f>CHAR(39)</f>
        <v>'</v>
      </c>
      <c r="Q109" t="str">
        <f>TRIM(SUBSTITUTE(IF(C109=0,"",C109),"'","''"))</f>
        <v>Rolando Gonzalez (M)</v>
      </c>
      <c r="R109" s="300" t="str">
        <f>CHAR(39)</f>
        <v>'</v>
      </c>
      <c r="S109" t="s">
        <v>719</v>
      </c>
      <c r="T109" s="300" t="str">
        <f>CHAR(39)</f>
        <v>'</v>
      </c>
      <c r="U109" t="str">
        <f>TRIM(SUBSTITUTE(A109,"'","''"))</f>
        <v>LINE KITTING MATERIAL (COLBIN)</v>
      </c>
      <c r="V109" s="300" t="str">
        <f>CHAR(39)</f>
        <v>'</v>
      </c>
      <c r="W109" t="s">
        <v>720</v>
      </c>
      <c r="X109">
        <f>IF(ISNUMBER(B109),B109,CHAR(39)&amp;TRIM(B109)&amp;CHAR(39))</f>
        <v>5001</v>
      </c>
      <c r="Z109" t="str">
        <f>_xlfn.CONCAT(G109:X109)</f>
        <v>update [dbo].[Inventory] Set [Auditor]  = 'Bob Cummins (S)',[Building]  = '415 Building',[Writer] = 'Rolando Gonzalez (M)',[AreaDesc] = 'LINE KITTING MATERIAL (COLBIN)' where [Area]=5001</v>
      </c>
      <c r="AB109" t="s">
        <v>834</v>
      </c>
    </row>
    <row r="110" spans="1:28">
      <c r="A110" t="s">
        <v>403</v>
      </c>
      <c r="B110">
        <v>5002</v>
      </c>
      <c r="C110" t="s">
        <v>404</v>
      </c>
      <c r="D110" t="s">
        <v>406</v>
      </c>
      <c r="E110" t="s">
        <v>832</v>
      </c>
      <c r="G110" t="s">
        <v>716</v>
      </c>
      <c r="H110" s="300" t="str">
        <f>CHAR(39)</f>
        <v>'</v>
      </c>
      <c r="I110" t="str">
        <f>TRIM(SUBSTITUTE(D110,"'","''"))</f>
        <v>Mike Dekker (M)</v>
      </c>
      <c r="J110" s="300" t="str">
        <f>CHAR(39)</f>
        <v>'</v>
      </c>
      <c r="K110" t="s">
        <v>717</v>
      </c>
      <c r="L110" s="300" t="str">
        <f>CHAR(39)</f>
        <v>'</v>
      </c>
      <c r="M110" t="str">
        <f>TRIM(E110)</f>
        <v>415 Building</v>
      </c>
      <c r="N110" s="300" t="str">
        <f>CHAR(39)</f>
        <v>'</v>
      </c>
      <c r="O110" t="s">
        <v>718</v>
      </c>
      <c r="P110" s="300" t="str">
        <f>CHAR(39)</f>
        <v>'</v>
      </c>
      <c r="Q110" t="str">
        <f>TRIM(SUBSTITUTE(IF(C110=0,"",C110),"'","''"))</f>
        <v>Kevin Toro (S)</v>
      </c>
      <c r="R110" s="300" t="str">
        <f>CHAR(39)</f>
        <v>'</v>
      </c>
      <c r="S110" t="s">
        <v>719</v>
      </c>
      <c r="T110" s="300" t="str">
        <f>CHAR(39)</f>
        <v>'</v>
      </c>
      <c r="U110" t="str">
        <f>TRIM(SUBSTITUTE(A110,"'","''"))</f>
        <v>LINE KITTING MATERIAL</v>
      </c>
      <c r="V110" s="300" t="str">
        <f>CHAR(39)</f>
        <v>'</v>
      </c>
      <c r="W110" t="s">
        <v>720</v>
      </c>
      <c r="X110">
        <f>IF(ISNUMBER(B110),B110,CHAR(39)&amp;TRIM(B110)&amp;CHAR(39))</f>
        <v>5002</v>
      </c>
      <c r="Z110" t="str">
        <f>_xlfn.CONCAT(G110:X110)</f>
        <v>update [dbo].[Inventory] Set [Auditor]  = 'Mike Dekker (M)',[Building]  = '415 Building',[Writer] = 'Kevin Toro (S)',[AreaDesc] = 'LINE KITTING MATERIAL' where [Area]=5002</v>
      </c>
      <c r="AB110" t="s">
        <v>835</v>
      </c>
    </row>
    <row r="111" spans="1:28">
      <c r="A111" t="s">
        <v>403</v>
      </c>
      <c r="B111">
        <v>5003</v>
      </c>
      <c r="C111" t="s">
        <v>407</v>
      </c>
      <c r="D111" t="s">
        <v>406</v>
      </c>
      <c r="E111" t="s">
        <v>832</v>
      </c>
      <c r="G111" t="s">
        <v>716</v>
      </c>
      <c r="H111" s="300" t="str">
        <f>CHAR(39)</f>
        <v>'</v>
      </c>
      <c r="I111" t="str">
        <f>TRIM(SUBSTITUTE(D111,"'","''"))</f>
        <v>Mike Dekker (M)</v>
      </c>
      <c r="J111" s="300" t="str">
        <f>CHAR(39)</f>
        <v>'</v>
      </c>
      <c r="K111" t="s">
        <v>717</v>
      </c>
      <c r="L111" s="300" t="str">
        <f>CHAR(39)</f>
        <v>'</v>
      </c>
      <c r="M111" t="str">
        <f>TRIM(E111)</f>
        <v>415 Building</v>
      </c>
      <c r="N111" s="300" t="str">
        <f>CHAR(39)</f>
        <v>'</v>
      </c>
      <c r="O111" t="s">
        <v>718</v>
      </c>
      <c r="P111" s="300" t="str">
        <f>CHAR(39)</f>
        <v>'</v>
      </c>
      <c r="Q111" t="str">
        <f>TRIM(SUBSTITUTE(IF(C111=0,"",C111),"'","''"))</f>
        <v>Tim Stone (ENG)</v>
      </c>
      <c r="R111" s="300" t="str">
        <f>CHAR(39)</f>
        <v>'</v>
      </c>
      <c r="S111" t="s">
        <v>719</v>
      </c>
      <c r="T111" s="300" t="str">
        <f>CHAR(39)</f>
        <v>'</v>
      </c>
      <c r="U111" t="str">
        <f>TRIM(SUBSTITUTE(A111,"'","''"))</f>
        <v>LINE KITTING MATERIAL</v>
      </c>
      <c r="V111" s="300" t="str">
        <f>CHAR(39)</f>
        <v>'</v>
      </c>
      <c r="W111" t="s">
        <v>720</v>
      </c>
      <c r="X111">
        <f>IF(ISNUMBER(B111),B111,CHAR(39)&amp;TRIM(B111)&amp;CHAR(39))</f>
        <v>5003</v>
      </c>
      <c r="Z111" t="str">
        <f>_xlfn.CONCAT(G111:X111)</f>
        <v>update [dbo].[Inventory] Set [Auditor]  = 'Mike Dekker (M)',[Building]  = '415 Building',[Writer] = 'Tim Stone (ENG)',[AreaDesc] = 'LINE KITTING MATERIAL' where [Area]=5003</v>
      </c>
      <c r="AB111" t="s">
        <v>836</v>
      </c>
    </row>
    <row r="112" spans="1:28">
      <c r="A112" t="s">
        <v>409</v>
      </c>
      <c r="B112">
        <v>5004</v>
      </c>
      <c r="C112" t="s">
        <v>410</v>
      </c>
      <c r="D112" t="s">
        <v>412</v>
      </c>
      <c r="E112" t="s">
        <v>832</v>
      </c>
      <c r="G112" t="s">
        <v>716</v>
      </c>
      <c r="H112" s="300" t="str">
        <f>CHAR(39)</f>
        <v>'</v>
      </c>
      <c r="I112" t="str">
        <f>TRIM(SUBSTITUTE(D112,"'","''"))</f>
        <v>Kevin Hernandez (M)</v>
      </c>
      <c r="J112" s="300" t="str">
        <f>CHAR(39)</f>
        <v>'</v>
      </c>
      <c r="K112" t="s">
        <v>717</v>
      </c>
      <c r="L112" s="300" t="str">
        <f>CHAR(39)</f>
        <v>'</v>
      </c>
      <c r="M112" t="str">
        <f>TRIM(E112)</f>
        <v>415 Building</v>
      </c>
      <c r="N112" s="300" t="str">
        <f>CHAR(39)</f>
        <v>'</v>
      </c>
      <c r="O112" t="s">
        <v>718</v>
      </c>
      <c r="P112" s="300" t="str">
        <f>CHAR(39)</f>
        <v>'</v>
      </c>
      <c r="Q112" t="str">
        <f>TRIM(SUBSTITUTE(IF(C112=0,"",C112),"'","''"))</f>
        <v>Rossana Osorio Melendez (M)</v>
      </c>
      <c r="R112" s="300" t="str">
        <f>CHAR(39)</f>
        <v>'</v>
      </c>
      <c r="S112" t="s">
        <v>719</v>
      </c>
      <c r="T112" s="300" t="str">
        <f>CHAR(39)</f>
        <v>'</v>
      </c>
      <c r="U112" t="str">
        <f>TRIM(SUBSTITUTE(A112,"'","''"))</f>
        <v>LINE KITTING MATERIAL (IMP)</v>
      </c>
      <c r="V112" s="300" t="str">
        <f>CHAR(39)</f>
        <v>'</v>
      </c>
      <c r="W112" t="s">
        <v>720</v>
      </c>
      <c r="X112">
        <f>IF(ISNUMBER(B112),B112,CHAR(39)&amp;TRIM(B112)&amp;CHAR(39))</f>
        <v>5004</v>
      </c>
      <c r="Z112" t="str">
        <f>_xlfn.CONCAT(G112:X112)</f>
        <v>update [dbo].[Inventory] Set [Auditor]  = 'Kevin Hernandez (M)',[Building]  = '415 Building',[Writer] = 'Rossana Osorio Melendez (M)',[AreaDesc] = 'LINE KITTING MATERIAL (IMP)' where [Area]=5004</v>
      </c>
      <c r="AB112" t="s">
        <v>837</v>
      </c>
    </row>
    <row r="113" spans="1:28">
      <c r="A113" t="s">
        <v>409</v>
      </c>
      <c r="B113">
        <v>5005</v>
      </c>
      <c r="C113" t="s">
        <v>413</v>
      </c>
      <c r="D113" t="s">
        <v>412</v>
      </c>
      <c r="E113" t="s">
        <v>832</v>
      </c>
      <c r="G113" t="s">
        <v>716</v>
      </c>
      <c r="H113" s="300" t="str">
        <f>CHAR(39)</f>
        <v>'</v>
      </c>
      <c r="I113" t="str">
        <f>TRIM(SUBSTITUTE(D113,"'","''"))</f>
        <v>Kevin Hernandez (M)</v>
      </c>
      <c r="J113" s="300" t="str">
        <f>CHAR(39)</f>
        <v>'</v>
      </c>
      <c r="K113" t="s">
        <v>717</v>
      </c>
      <c r="L113" s="300" t="str">
        <f>CHAR(39)</f>
        <v>'</v>
      </c>
      <c r="M113" t="str">
        <f>TRIM(E113)</f>
        <v>415 Building</v>
      </c>
      <c r="N113" s="300" t="str">
        <f>CHAR(39)</f>
        <v>'</v>
      </c>
      <c r="O113" t="s">
        <v>718</v>
      </c>
      <c r="P113" s="300" t="str">
        <f>CHAR(39)</f>
        <v>'</v>
      </c>
      <c r="Q113" t="str">
        <f>TRIM(SUBSTITUTE(IF(C113=0,"",C113),"'","''"))</f>
        <v>Diana Munoz (M)</v>
      </c>
      <c r="R113" s="300" t="str">
        <f>CHAR(39)</f>
        <v>'</v>
      </c>
      <c r="S113" t="s">
        <v>719</v>
      </c>
      <c r="T113" s="300" t="str">
        <f>CHAR(39)</f>
        <v>'</v>
      </c>
      <c r="U113" t="str">
        <f>TRIM(SUBSTITUTE(A113,"'","''"))</f>
        <v>LINE KITTING MATERIAL (IMP)</v>
      </c>
      <c r="V113" s="300" t="str">
        <f>CHAR(39)</f>
        <v>'</v>
      </c>
      <c r="W113" t="s">
        <v>720</v>
      </c>
      <c r="X113">
        <f>IF(ISNUMBER(B113),B113,CHAR(39)&amp;TRIM(B113)&amp;CHAR(39))</f>
        <v>5005</v>
      </c>
      <c r="Z113" t="str">
        <f>_xlfn.CONCAT(G113:X113)</f>
        <v>update [dbo].[Inventory] Set [Auditor]  = 'Kevin Hernandez (M)',[Building]  = '415 Building',[Writer] = 'Diana Munoz (M)',[AreaDesc] = 'LINE KITTING MATERIAL (IMP)' where [Area]=5005</v>
      </c>
      <c r="AB113" t="s">
        <v>838</v>
      </c>
    </row>
    <row r="114" spans="1:28">
      <c r="A114" t="s">
        <v>403</v>
      </c>
      <c r="B114">
        <v>5006</v>
      </c>
      <c r="C114" t="s">
        <v>415</v>
      </c>
      <c r="D114" t="s">
        <v>417</v>
      </c>
      <c r="E114" t="s">
        <v>832</v>
      </c>
      <c r="G114" t="s">
        <v>716</v>
      </c>
      <c r="H114" s="300" t="str">
        <f>CHAR(39)</f>
        <v>'</v>
      </c>
      <c r="I114" t="str">
        <f>TRIM(SUBSTITUTE(D114,"'","''"))</f>
        <v>Nate Creed</v>
      </c>
      <c r="J114" s="300" t="str">
        <f>CHAR(39)</f>
        <v>'</v>
      </c>
      <c r="K114" t="s">
        <v>717</v>
      </c>
      <c r="L114" s="300" t="str">
        <f>CHAR(39)</f>
        <v>'</v>
      </c>
      <c r="M114" t="str">
        <f>TRIM(E114)</f>
        <v>415 Building</v>
      </c>
      <c r="N114" s="300" t="str">
        <f>CHAR(39)</f>
        <v>'</v>
      </c>
      <c r="O114" t="s">
        <v>718</v>
      </c>
      <c r="P114" s="300" t="str">
        <f>CHAR(39)</f>
        <v>'</v>
      </c>
      <c r="Q114" t="str">
        <f>TRIM(SUBSTITUTE(IF(C114=0,"",C114),"'","''"))</f>
        <v>Brad Elam (W)</v>
      </c>
      <c r="R114" s="300" t="str">
        <f>CHAR(39)</f>
        <v>'</v>
      </c>
      <c r="S114" t="s">
        <v>719</v>
      </c>
      <c r="T114" s="300" t="str">
        <f>CHAR(39)</f>
        <v>'</v>
      </c>
      <c r="U114" t="str">
        <f>TRIM(SUBSTITUTE(A114,"'","''"))</f>
        <v>LINE KITTING MATERIAL</v>
      </c>
      <c r="V114" s="300" t="str">
        <f>CHAR(39)</f>
        <v>'</v>
      </c>
      <c r="W114" t="s">
        <v>720</v>
      </c>
      <c r="X114">
        <f>IF(ISNUMBER(B114),B114,CHAR(39)&amp;TRIM(B114)&amp;CHAR(39))</f>
        <v>5006</v>
      </c>
      <c r="Z114" t="str">
        <f>_xlfn.CONCAT(G114:X114)</f>
        <v>update [dbo].[Inventory] Set [Auditor]  = 'Nate Creed',[Building]  = '415 Building',[Writer] = 'Brad Elam (W)',[AreaDesc] = 'LINE KITTING MATERIAL' where [Area]=5006</v>
      </c>
      <c r="AB114" t="s">
        <v>839</v>
      </c>
    </row>
    <row r="115" spans="1:28">
      <c r="A115" t="s">
        <v>403</v>
      </c>
      <c r="B115">
        <v>5068</v>
      </c>
      <c r="C115" t="s">
        <v>418</v>
      </c>
      <c r="D115" t="s">
        <v>420</v>
      </c>
      <c r="E115" t="s">
        <v>832</v>
      </c>
      <c r="G115" t="s">
        <v>716</v>
      </c>
      <c r="H115" s="300" t="str">
        <f>CHAR(39)</f>
        <v>'</v>
      </c>
      <c r="I115" t="str">
        <f>TRIM(SUBSTITUTE(D115,"'","''"))</f>
        <v>Adrianna Jones (M)</v>
      </c>
      <c r="J115" s="300" t="str">
        <f>CHAR(39)</f>
        <v>'</v>
      </c>
      <c r="K115" t="s">
        <v>717</v>
      </c>
      <c r="L115" s="300" t="str">
        <f>CHAR(39)</f>
        <v>'</v>
      </c>
      <c r="M115" t="str">
        <f>TRIM(E115)</f>
        <v>415 Building</v>
      </c>
      <c r="N115" s="300" t="str">
        <f>CHAR(39)</f>
        <v>'</v>
      </c>
      <c r="O115" t="s">
        <v>718</v>
      </c>
      <c r="P115" s="300" t="str">
        <f>CHAR(39)</f>
        <v>'</v>
      </c>
      <c r="Q115" t="str">
        <f>TRIM(SUBSTITUTE(IF(C115=0,"",C115),"'","''"))</f>
        <v>Nathaniel Wright (M)</v>
      </c>
      <c r="R115" s="300" t="str">
        <f>CHAR(39)</f>
        <v>'</v>
      </c>
      <c r="S115" t="s">
        <v>719</v>
      </c>
      <c r="T115" s="300" t="str">
        <f>CHAR(39)</f>
        <v>'</v>
      </c>
      <c r="U115" t="str">
        <f>TRIM(SUBSTITUTE(A115,"'","''"))</f>
        <v>LINE KITTING MATERIAL</v>
      </c>
      <c r="V115" s="300" t="str">
        <f>CHAR(39)</f>
        <v>'</v>
      </c>
      <c r="W115" t="s">
        <v>720</v>
      </c>
      <c r="X115">
        <f>IF(ISNUMBER(B115),B115,CHAR(39)&amp;TRIM(B115)&amp;CHAR(39))</f>
        <v>5068</v>
      </c>
      <c r="Z115" t="str">
        <f>_xlfn.CONCAT(G115:X115)</f>
        <v>update [dbo].[Inventory] Set [Auditor]  = 'Adrianna Jones (M)',[Building]  = '415 Building',[Writer] = 'Nathaniel Wright (M)',[AreaDesc] = 'LINE KITTING MATERIAL' where [Area]=5068</v>
      </c>
      <c r="AB115" t="s">
        <v>840</v>
      </c>
    </row>
    <row r="116" spans="1:28">
      <c r="A116" t="s">
        <v>403</v>
      </c>
      <c r="B116">
        <v>5007</v>
      </c>
      <c r="C116" t="s">
        <v>422</v>
      </c>
      <c r="D116" t="s">
        <v>417</v>
      </c>
      <c r="E116" t="s">
        <v>832</v>
      </c>
      <c r="G116" t="s">
        <v>716</v>
      </c>
      <c r="H116" s="300" t="str">
        <f>CHAR(39)</f>
        <v>'</v>
      </c>
      <c r="I116" t="str">
        <f>TRIM(SUBSTITUTE(D116,"'","''"))</f>
        <v>Nate Creed</v>
      </c>
      <c r="J116" s="300" t="str">
        <f>CHAR(39)</f>
        <v>'</v>
      </c>
      <c r="K116" t="s">
        <v>717</v>
      </c>
      <c r="L116" s="300" t="str">
        <f>CHAR(39)</f>
        <v>'</v>
      </c>
      <c r="M116" t="str">
        <f>TRIM(E116)</f>
        <v>415 Building</v>
      </c>
      <c r="N116" s="300" t="str">
        <f>CHAR(39)</f>
        <v>'</v>
      </c>
      <c r="O116" t="s">
        <v>718</v>
      </c>
      <c r="P116" s="300" t="str">
        <f>CHAR(39)</f>
        <v>'</v>
      </c>
      <c r="Q116" t="str">
        <f>TRIM(SUBSTITUTE(IF(C116=0,"",C116),"'","''"))</f>
        <v>Brian Coffee (W)</v>
      </c>
      <c r="R116" s="300" t="str">
        <f>CHAR(39)</f>
        <v>'</v>
      </c>
      <c r="S116" t="s">
        <v>719</v>
      </c>
      <c r="T116" s="300" t="str">
        <f>CHAR(39)</f>
        <v>'</v>
      </c>
      <c r="U116" t="str">
        <f>TRIM(SUBSTITUTE(A116,"'","''"))</f>
        <v>LINE KITTING MATERIAL</v>
      </c>
      <c r="V116" s="300" t="str">
        <f>CHAR(39)</f>
        <v>'</v>
      </c>
      <c r="W116" t="s">
        <v>720</v>
      </c>
      <c r="X116">
        <f>IF(ISNUMBER(B116),B116,CHAR(39)&amp;TRIM(B116)&amp;CHAR(39))</f>
        <v>5007</v>
      </c>
      <c r="Z116" t="str">
        <f>_xlfn.CONCAT(G116:X116)</f>
        <v>update [dbo].[Inventory] Set [Auditor]  = 'Nate Creed',[Building]  = '415 Building',[Writer] = 'Brian Coffee (W)',[AreaDesc] = 'LINE KITTING MATERIAL' where [Area]=5007</v>
      </c>
      <c r="AB116" t="s">
        <v>841</v>
      </c>
    </row>
    <row r="117" spans="1:28">
      <c r="A117" t="s">
        <v>403</v>
      </c>
      <c r="B117">
        <v>5069</v>
      </c>
      <c r="C117" t="s">
        <v>424</v>
      </c>
      <c r="D117" t="s">
        <v>420</v>
      </c>
      <c r="E117" t="s">
        <v>832</v>
      </c>
      <c r="G117" t="s">
        <v>716</v>
      </c>
      <c r="H117" s="300" t="str">
        <f>CHAR(39)</f>
        <v>'</v>
      </c>
      <c r="I117" t="str">
        <f>TRIM(SUBSTITUTE(D117,"'","''"))</f>
        <v>Adrianna Jones (M)</v>
      </c>
      <c r="J117" s="300" t="str">
        <f>CHAR(39)</f>
        <v>'</v>
      </c>
      <c r="K117" t="s">
        <v>717</v>
      </c>
      <c r="L117" s="300" t="str">
        <f>CHAR(39)</f>
        <v>'</v>
      </c>
      <c r="M117" t="str">
        <f>TRIM(E117)</f>
        <v>415 Building</v>
      </c>
      <c r="N117" s="300" t="str">
        <f>CHAR(39)</f>
        <v>'</v>
      </c>
      <c r="O117" t="s">
        <v>718</v>
      </c>
      <c r="P117" s="300" t="str">
        <f>CHAR(39)</f>
        <v>'</v>
      </c>
      <c r="Q117" t="str">
        <f>TRIM(SUBSTITUTE(IF(C117=0,"",C117),"'","''"))</f>
        <v>Debora Blanco (COE)</v>
      </c>
      <c r="R117" s="300" t="str">
        <f>CHAR(39)</f>
        <v>'</v>
      </c>
      <c r="S117" t="s">
        <v>719</v>
      </c>
      <c r="T117" s="300" t="str">
        <f>CHAR(39)</f>
        <v>'</v>
      </c>
      <c r="U117" t="str">
        <f>TRIM(SUBSTITUTE(A117,"'","''"))</f>
        <v>LINE KITTING MATERIAL</v>
      </c>
      <c r="V117" s="300" t="str">
        <f>CHAR(39)</f>
        <v>'</v>
      </c>
      <c r="W117" t="s">
        <v>720</v>
      </c>
      <c r="X117">
        <f>IF(ISNUMBER(B117),B117,CHAR(39)&amp;TRIM(B117)&amp;CHAR(39))</f>
        <v>5069</v>
      </c>
      <c r="Z117" t="str">
        <f>_xlfn.CONCAT(G117:X117)</f>
        <v>update [dbo].[Inventory] Set [Auditor]  = 'Adrianna Jones (M)',[Building]  = '415 Building',[Writer] = 'Debora Blanco (COE)',[AreaDesc] = 'LINE KITTING MATERIAL' where [Area]=5069</v>
      </c>
      <c r="AB117" t="s">
        <v>842</v>
      </c>
    </row>
    <row r="118" spans="1:28">
      <c r="A118" t="s">
        <v>403</v>
      </c>
      <c r="B118">
        <v>5008</v>
      </c>
      <c r="C118" t="s">
        <v>426</v>
      </c>
      <c r="D118" t="s">
        <v>428</v>
      </c>
      <c r="E118" t="s">
        <v>832</v>
      </c>
      <c r="G118" t="s">
        <v>716</v>
      </c>
      <c r="H118" s="300" t="str">
        <f>CHAR(39)</f>
        <v>'</v>
      </c>
      <c r="I118" t="str">
        <f>TRIM(SUBSTITUTE(D118,"'","''"))</f>
        <v>Tom Tuttle</v>
      </c>
      <c r="J118" s="300" t="str">
        <f>CHAR(39)</f>
        <v>'</v>
      </c>
      <c r="K118" t="s">
        <v>717</v>
      </c>
      <c r="L118" s="300" t="str">
        <f>CHAR(39)</f>
        <v>'</v>
      </c>
      <c r="M118" t="str">
        <f>TRIM(E118)</f>
        <v>415 Building</v>
      </c>
      <c r="N118" s="300" t="str">
        <f>CHAR(39)</f>
        <v>'</v>
      </c>
      <c r="O118" t="s">
        <v>718</v>
      </c>
      <c r="P118" s="300" t="str">
        <f>CHAR(39)</f>
        <v>'</v>
      </c>
      <c r="Q118" t="str">
        <f>TRIM(SUBSTITUTE(IF(C118=0,"",C118),"'","''"))</f>
        <v>John Van Scoyk (W)</v>
      </c>
      <c r="R118" s="300" t="str">
        <f>CHAR(39)</f>
        <v>'</v>
      </c>
      <c r="S118" t="s">
        <v>719</v>
      </c>
      <c r="T118" s="300" t="str">
        <f>CHAR(39)</f>
        <v>'</v>
      </c>
      <c r="U118" t="str">
        <f>TRIM(SUBSTITUTE(A118,"'","''"))</f>
        <v>LINE KITTING MATERIAL</v>
      </c>
      <c r="V118" s="300" t="str">
        <f>CHAR(39)</f>
        <v>'</v>
      </c>
      <c r="W118" t="s">
        <v>720</v>
      </c>
      <c r="X118">
        <f>IF(ISNUMBER(B118),B118,CHAR(39)&amp;TRIM(B118)&amp;CHAR(39))</f>
        <v>5008</v>
      </c>
      <c r="Z118" t="str">
        <f>_xlfn.CONCAT(G118:X118)</f>
        <v>update [dbo].[Inventory] Set [Auditor]  = 'Tom Tuttle',[Building]  = '415 Building',[Writer] = 'John Van Scoyk (W)',[AreaDesc] = 'LINE KITTING MATERIAL' where [Area]=5008</v>
      </c>
      <c r="AB118" t="s">
        <v>843</v>
      </c>
    </row>
    <row r="119" spans="1:28">
      <c r="A119" t="s">
        <v>403</v>
      </c>
      <c r="B119">
        <v>5009</v>
      </c>
      <c r="C119" t="s">
        <v>426</v>
      </c>
      <c r="D119" t="s">
        <v>428</v>
      </c>
      <c r="E119" t="s">
        <v>832</v>
      </c>
      <c r="G119" t="s">
        <v>716</v>
      </c>
      <c r="H119" s="300" t="str">
        <f>CHAR(39)</f>
        <v>'</v>
      </c>
      <c r="I119" t="str">
        <f>TRIM(SUBSTITUTE(D119,"'","''"))</f>
        <v>Tom Tuttle</v>
      </c>
      <c r="J119" s="300" t="str">
        <f>CHAR(39)</f>
        <v>'</v>
      </c>
      <c r="K119" t="s">
        <v>717</v>
      </c>
      <c r="L119" s="300" t="str">
        <f>CHAR(39)</f>
        <v>'</v>
      </c>
      <c r="M119" t="str">
        <f>TRIM(E119)</f>
        <v>415 Building</v>
      </c>
      <c r="N119" s="300" t="str">
        <f>CHAR(39)</f>
        <v>'</v>
      </c>
      <c r="O119" t="s">
        <v>718</v>
      </c>
      <c r="P119" s="300" t="str">
        <f>CHAR(39)</f>
        <v>'</v>
      </c>
      <c r="Q119" t="str">
        <f>TRIM(SUBSTITUTE(IF(C119=0,"",C119),"'","''"))</f>
        <v>John Van Scoyk (W)</v>
      </c>
      <c r="R119" s="300" t="str">
        <f>CHAR(39)</f>
        <v>'</v>
      </c>
      <c r="S119" t="s">
        <v>719</v>
      </c>
      <c r="T119" s="300" t="str">
        <f>CHAR(39)</f>
        <v>'</v>
      </c>
      <c r="U119" t="str">
        <f>TRIM(SUBSTITUTE(A119,"'","''"))</f>
        <v>LINE KITTING MATERIAL</v>
      </c>
      <c r="V119" s="300" t="str">
        <f>CHAR(39)</f>
        <v>'</v>
      </c>
      <c r="W119" t="s">
        <v>720</v>
      </c>
      <c r="X119">
        <f>IF(ISNUMBER(B119),B119,CHAR(39)&amp;TRIM(B119)&amp;CHAR(39))</f>
        <v>5009</v>
      </c>
      <c r="Z119" t="str">
        <f>_xlfn.CONCAT(G119:X119)</f>
        <v>update [dbo].[Inventory] Set [Auditor]  = 'Tom Tuttle',[Building]  = '415 Building',[Writer] = 'John Van Scoyk (W)',[AreaDesc] = 'LINE KITTING MATERIAL' where [Area]=5009</v>
      </c>
      <c r="AB119" t="s">
        <v>844</v>
      </c>
    </row>
    <row r="120" spans="1:28">
      <c r="A120" t="s">
        <v>403</v>
      </c>
      <c r="B120">
        <v>5010</v>
      </c>
      <c r="C120" t="s">
        <v>429</v>
      </c>
      <c r="D120" t="s">
        <v>431</v>
      </c>
      <c r="E120" t="s">
        <v>832</v>
      </c>
      <c r="G120" t="s">
        <v>716</v>
      </c>
      <c r="H120" s="300" t="str">
        <f>CHAR(39)</f>
        <v>'</v>
      </c>
      <c r="I120" t="str">
        <f>TRIM(SUBSTITUTE(D120,"'","''"))</f>
        <v>Zach Klecker (S)</v>
      </c>
      <c r="J120" s="300" t="str">
        <f>CHAR(39)</f>
        <v>'</v>
      </c>
      <c r="K120" t="s">
        <v>717</v>
      </c>
      <c r="L120" s="300" t="str">
        <f>CHAR(39)</f>
        <v>'</v>
      </c>
      <c r="M120" t="str">
        <f>TRIM(E120)</f>
        <v>415 Building</v>
      </c>
      <c r="N120" s="300" t="str">
        <f>CHAR(39)</f>
        <v>'</v>
      </c>
      <c r="O120" t="s">
        <v>718</v>
      </c>
      <c r="P120" s="300" t="str">
        <f>CHAR(39)</f>
        <v>'</v>
      </c>
      <c r="Q120" t="str">
        <f>TRIM(SUBSTITUTE(IF(C120=0,"",C120),"'","''"))</f>
        <v>Francisco Torres (W)</v>
      </c>
      <c r="R120" s="300" t="str">
        <f>CHAR(39)</f>
        <v>'</v>
      </c>
      <c r="S120" t="s">
        <v>719</v>
      </c>
      <c r="T120" s="300" t="str">
        <f>CHAR(39)</f>
        <v>'</v>
      </c>
      <c r="U120" t="str">
        <f>TRIM(SUBSTITUTE(A120,"'","''"))</f>
        <v>LINE KITTING MATERIAL</v>
      </c>
      <c r="V120" s="300" t="str">
        <f>CHAR(39)</f>
        <v>'</v>
      </c>
      <c r="W120" t="s">
        <v>720</v>
      </c>
      <c r="X120">
        <f>IF(ISNUMBER(B120),B120,CHAR(39)&amp;TRIM(B120)&amp;CHAR(39))</f>
        <v>5010</v>
      </c>
      <c r="Z120" t="str">
        <f>_xlfn.CONCAT(G120:X120)</f>
        <v>update [dbo].[Inventory] Set [Auditor]  = 'Zach Klecker (S)',[Building]  = '415 Building',[Writer] = 'Francisco Torres (W)',[AreaDesc] = 'LINE KITTING MATERIAL' where [Area]=5010</v>
      </c>
      <c r="AB120" t="s">
        <v>845</v>
      </c>
    </row>
    <row r="121" spans="1:28">
      <c r="A121" t="s">
        <v>403</v>
      </c>
      <c r="B121">
        <v>5011</v>
      </c>
      <c r="C121" t="s">
        <v>432</v>
      </c>
      <c r="D121" t="s">
        <v>434</v>
      </c>
      <c r="E121" t="s">
        <v>832</v>
      </c>
      <c r="G121" t="s">
        <v>716</v>
      </c>
      <c r="H121" s="300" t="str">
        <f>CHAR(39)</f>
        <v>'</v>
      </c>
      <c r="I121" t="str">
        <f>TRIM(SUBSTITUTE(D121,"'","''"))</f>
        <v>Jessie Savangvongsavanh</v>
      </c>
      <c r="J121" s="300" t="str">
        <f>CHAR(39)</f>
        <v>'</v>
      </c>
      <c r="K121" t="s">
        <v>717</v>
      </c>
      <c r="L121" s="300" t="str">
        <f>CHAR(39)</f>
        <v>'</v>
      </c>
      <c r="M121" t="str">
        <f>TRIM(E121)</f>
        <v>415 Building</v>
      </c>
      <c r="N121" s="300" t="str">
        <f>CHAR(39)</f>
        <v>'</v>
      </c>
      <c r="O121" t="s">
        <v>718</v>
      </c>
      <c r="P121" s="300" t="str">
        <f>CHAR(39)</f>
        <v>'</v>
      </c>
      <c r="Q121" t="str">
        <f>TRIM(SUBSTITUTE(IF(C121=0,"",C121),"'","''"))</f>
        <v>Troy Kantz</v>
      </c>
      <c r="R121" s="300" t="str">
        <f>CHAR(39)</f>
        <v>'</v>
      </c>
      <c r="S121" t="s">
        <v>719</v>
      </c>
      <c r="T121" s="300" t="str">
        <f>CHAR(39)</f>
        <v>'</v>
      </c>
      <c r="U121" t="str">
        <f>TRIM(SUBSTITUTE(A121,"'","''"))</f>
        <v>LINE KITTING MATERIAL</v>
      </c>
      <c r="V121" s="300" t="str">
        <f>CHAR(39)</f>
        <v>'</v>
      </c>
      <c r="W121" t="s">
        <v>720</v>
      </c>
      <c r="X121">
        <f>IF(ISNUMBER(B121),B121,CHAR(39)&amp;TRIM(B121)&amp;CHAR(39))</f>
        <v>5011</v>
      </c>
      <c r="Z121" t="str">
        <f>_xlfn.CONCAT(G121:X121)</f>
        <v>update [dbo].[Inventory] Set [Auditor]  = 'Jessie Savangvongsavanh',[Building]  = '415 Building',[Writer] = 'Troy Kantz',[AreaDesc] = 'LINE KITTING MATERIAL' where [Area]=5011</v>
      </c>
      <c r="AB121" t="s">
        <v>846</v>
      </c>
    </row>
    <row r="122" spans="1:28">
      <c r="A122" t="s">
        <v>403</v>
      </c>
      <c r="B122">
        <v>5012</v>
      </c>
      <c r="C122" t="s">
        <v>435</v>
      </c>
      <c r="D122" t="s">
        <v>437</v>
      </c>
      <c r="E122" t="s">
        <v>832</v>
      </c>
      <c r="G122" t="s">
        <v>716</v>
      </c>
      <c r="H122" s="300" t="str">
        <f>CHAR(39)</f>
        <v>'</v>
      </c>
      <c r="I122" t="str">
        <f>TRIM(SUBSTITUTE(D122,"'","''"))</f>
        <v>David Huisman (M)</v>
      </c>
      <c r="J122" s="300" t="str">
        <f>CHAR(39)</f>
        <v>'</v>
      </c>
      <c r="K122" t="s">
        <v>717</v>
      </c>
      <c r="L122" s="300" t="str">
        <f>CHAR(39)</f>
        <v>'</v>
      </c>
      <c r="M122" t="str">
        <f>TRIM(E122)</f>
        <v>415 Building</v>
      </c>
      <c r="N122" s="300" t="str">
        <f>CHAR(39)</f>
        <v>'</v>
      </c>
      <c r="O122" t="s">
        <v>718</v>
      </c>
      <c r="P122" s="300" t="str">
        <f>CHAR(39)</f>
        <v>'</v>
      </c>
      <c r="Q122" t="str">
        <f>TRIM(SUBSTITUTE(IF(C122=0,"",C122),"'","''"))</f>
        <v>Philip Parker (COE)</v>
      </c>
      <c r="R122" s="300" t="str">
        <f>CHAR(39)</f>
        <v>'</v>
      </c>
      <c r="S122" t="s">
        <v>719</v>
      </c>
      <c r="T122" s="300" t="str">
        <f>CHAR(39)</f>
        <v>'</v>
      </c>
      <c r="U122" t="str">
        <f>TRIM(SUBSTITUTE(A122,"'","''"))</f>
        <v>LINE KITTING MATERIAL</v>
      </c>
      <c r="V122" s="300" t="str">
        <f>CHAR(39)</f>
        <v>'</v>
      </c>
      <c r="W122" t="s">
        <v>720</v>
      </c>
      <c r="X122">
        <f>IF(ISNUMBER(B122),B122,CHAR(39)&amp;TRIM(B122)&amp;CHAR(39))</f>
        <v>5012</v>
      </c>
      <c r="Z122" t="str">
        <f>_xlfn.CONCAT(G122:X122)</f>
        <v>update [dbo].[Inventory] Set [Auditor]  = 'David Huisman (M)',[Building]  = '415 Building',[Writer] = 'Philip Parker (COE)',[AreaDesc] = 'LINE KITTING MATERIAL' where [Area]=5012</v>
      </c>
      <c r="AB122" t="s">
        <v>847</v>
      </c>
    </row>
    <row r="123" spans="1:28">
      <c r="A123" t="s">
        <v>403</v>
      </c>
      <c r="B123">
        <v>5013</v>
      </c>
      <c r="C123" t="s">
        <v>438</v>
      </c>
      <c r="D123" t="s">
        <v>434</v>
      </c>
      <c r="E123" t="s">
        <v>832</v>
      </c>
      <c r="G123" t="s">
        <v>716</v>
      </c>
      <c r="H123" s="300" t="str">
        <f>CHAR(39)</f>
        <v>'</v>
      </c>
      <c r="I123" t="str">
        <f>TRIM(SUBSTITUTE(D123,"'","''"))</f>
        <v>Jessie Savangvongsavanh</v>
      </c>
      <c r="J123" s="300" t="str">
        <f>CHAR(39)</f>
        <v>'</v>
      </c>
      <c r="K123" t="s">
        <v>717</v>
      </c>
      <c r="L123" s="300" t="str">
        <f>CHAR(39)</f>
        <v>'</v>
      </c>
      <c r="M123" t="str">
        <f>TRIM(E123)</f>
        <v>415 Building</v>
      </c>
      <c r="N123" s="300" t="str">
        <f>CHAR(39)</f>
        <v>'</v>
      </c>
      <c r="O123" t="s">
        <v>718</v>
      </c>
      <c r="P123" s="300" t="str">
        <f>CHAR(39)</f>
        <v>'</v>
      </c>
      <c r="Q123" t="str">
        <f>TRIM(SUBSTITUTE(IF(C123=0,"",C123),"'","''"))</f>
        <v>Paul Thorpe (N)</v>
      </c>
      <c r="R123" s="300" t="str">
        <f>CHAR(39)</f>
        <v>'</v>
      </c>
      <c r="S123" t="s">
        <v>719</v>
      </c>
      <c r="T123" s="300" t="str">
        <f>CHAR(39)</f>
        <v>'</v>
      </c>
      <c r="U123" t="str">
        <f>TRIM(SUBSTITUTE(A123,"'","''"))</f>
        <v>LINE KITTING MATERIAL</v>
      </c>
      <c r="V123" s="300" t="str">
        <f>CHAR(39)</f>
        <v>'</v>
      </c>
      <c r="W123" t="s">
        <v>720</v>
      </c>
      <c r="X123">
        <f>IF(ISNUMBER(B123),B123,CHAR(39)&amp;TRIM(B123)&amp;CHAR(39))</f>
        <v>5013</v>
      </c>
      <c r="Z123" t="str">
        <f>_xlfn.CONCAT(G123:X123)</f>
        <v>update [dbo].[Inventory] Set [Auditor]  = 'Jessie Savangvongsavanh',[Building]  = '415 Building',[Writer] = 'Paul Thorpe (N)',[AreaDesc] = 'LINE KITTING MATERIAL' where [Area]=5013</v>
      </c>
      <c r="AB123" t="s">
        <v>848</v>
      </c>
    </row>
    <row r="124" spans="1:28">
      <c r="A124" t="s">
        <v>403</v>
      </c>
      <c r="B124">
        <v>5014</v>
      </c>
      <c r="C124" t="s">
        <v>440</v>
      </c>
      <c r="D124" t="s">
        <v>442</v>
      </c>
      <c r="E124" t="s">
        <v>832</v>
      </c>
      <c r="G124" t="s">
        <v>716</v>
      </c>
      <c r="H124" s="300" t="str">
        <f>CHAR(39)</f>
        <v>'</v>
      </c>
      <c r="I124" t="str">
        <f>TRIM(SUBSTITUTE(D124,"'","''"))</f>
        <v>Ishmael Bermudez (M)</v>
      </c>
      <c r="J124" s="300" t="str">
        <f>CHAR(39)</f>
        <v>'</v>
      </c>
      <c r="K124" t="s">
        <v>717</v>
      </c>
      <c r="L124" s="300" t="str">
        <f>CHAR(39)</f>
        <v>'</v>
      </c>
      <c r="M124" t="str">
        <f>TRIM(E124)</f>
        <v>415 Building</v>
      </c>
      <c r="N124" s="300" t="str">
        <f>CHAR(39)</f>
        <v>'</v>
      </c>
      <c r="O124" t="s">
        <v>718</v>
      </c>
      <c r="P124" s="300" t="str">
        <f>CHAR(39)</f>
        <v>'</v>
      </c>
      <c r="Q124" t="str">
        <f>TRIM(SUBSTITUTE(IF(C124=0,"",C124),"'","''"))</f>
        <v>Lucila Juarez (N)</v>
      </c>
      <c r="R124" s="300" t="str">
        <f>CHAR(39)</f>
        <v>'</v>
      </c>
      <c r="S124" t="s">
        <v>719</v>
      </c>
      <c r="T124" s="300" t="str">
        <f>CHAR(39)</f>
        <v>'</v>
      </c>
      <c r="U124" t="str">
        <f>TRIM(SUBSTITUTE(A124,"'","''"))</f>
        <v>LINE KITTING MATERIAL</v>
      </c>
      <c r="V124" s="300" t="str">
        <f>CHAR(39)</f>
        <v>'</v>
      </c>
      <c r="W124" t="s">
        <v>720</v>
      </c>
      <c r="X124">
        <f>IF(ISNUMBER(B124),B124,CHAR(39)&amp;TRIM(B124)&amp;CHAR(39))</f>
        <v>5014</v>
      </c>
      <c r="Z124" t="str">
        <f>_xlfn.CONCAT(G124:X124)</f>
        <v>update [dbo].[Inventory] Set [Auditor]  = 'Ishmael Bermudez (M)',[Building]  = '415 Building',[Writer] = 'Lucila Juarez (N)',[AreaDesc] = 'LINE KITTING MATERIAL' where [Area]=5014</v>
      </c>
      <c r="AB124" t="s">
        <v>849</v>
      </c>
    </row>
    <row r="125" spans="1:28">
      <c r="A125" t="s">
        <v>403</v>
      </c>
      <c r="B125">
        <v>5015</v>
      </c>
      <c r="C125" t="s">
        <v>443</v>
      </c>
      <c r="D125" t="s">
        <v>442</v>
      </c>
      <c r="E125" t="s">
        <v>832</v>
      </c>
      <c r="G125" t="s">
        <v>716</v>
      </c>
      <c r="H125" s="300" t="str">
        <f>CHAR(39)</f>
        <v>'</v>
      </c>
      <c r="I125" t="str">
        <f>TRIM(SUBSTITUTE(D125,"'","''"))</f>
        <v>Ishmael Bermudez (M)</v>
      </c>
      <c r="J125" s="300" t="str">
        <f>CHAR(39)</f>
        <v>'</v>
      </c>
      <c r="K125" t="s">
        <v>717</v>
      </c>
      <c r="L125" s="300" t="str">
        <f>CHAR(39)</f>
        <v>'</v>
      </c>
      <c r="M125" t="str">
        <f>TRIM(E125)</f>
        <v>415 Building</v>
      </c>
      <c r="N125" s="300" t="str">
        <f>CHAR(39)</f>
        <v>'</v>
      </c>
      <c r="O125" t="s">
        <v>718</v>
      </c>
      <c r="P125" s="300" t="str">
        <f>CHAR(39)</f>
        <v>'</v>
      </c>
      <c r="Q125" t="str">
        <f>TRIM(SUBSTITUTE(IF(C125=0,"",C125),"'","''"))</f>
        <v>James Quarles</v>
      </c>
      <c r="R125" s="300" t="str">
        <f>CHAR(39)</f>
        <v>'</v>
      </c>
      <c r="S125" t="s">
        <v>719</v>
      </c>
      <c r="T125" s="300" t="str">
        <f>CHAR(39)</f>
        <v>'</v>
      </c>
      <c r="U125" t="str">
        <f>TRIM(SUBSTITUTE(A125,"'","''"))</f>
        <v>LINE KITTING MATERIAL</v>
      </c>
      <c r="V125" s="300" t="str">
        <f>CHAR(39)</f>
        <v>'</v>
      </c>
      <c r="W125" t="s">
        <v>720</v>
      </c>
      <c r="X125">
        <f>IF(ISNUMBER(B125),B125,CHAR(39)&amp;TRIM(B125)&amp;CHAR(39))</f>
        <v>5015</v>
      </c>
      <c r="Z125" t="str">
        <f>_xlfn.CONCAT(G125:X125)</f>
        <v>update [dbo].[Inventory] Set [Auditor]  = 'Ishmael Bermudez (M)',[Building]  = '415 Building',[Writer] = 'James Quarles',[AreaDesc] = 'LINE KITTING MATERIAL' where [Area]=5015</v>
      </c>
      <c r="AB125" t="s">
        <v>850</v>
      </c>
    </row>
    <row r="126" spans="1:28">
      <c r="A126" t="s">
        <v>403</v>
      </c>
      <c r="B126">
        <v>5016</v>
      </c>
      <c r="C126" t="s">
        <v>445</v>
      </c>
      <c r="D126" t="s">
        <v>447</v>
      </c>
      <c r="E126" t="s">
        <v>832</v>
      </c>
      <c r="G126" t="s">
        <v>716</v>
      </c>
      <c r="H126" s="300" t="str">
        <f>CHAR(39)</f>
        <v>'</v>
      </c>
      <c r="I126" t="str">
        <f>TRIM(SUBSTITUTE(D126,"'","''"))</f>
        <v>Rob Cowan (M)</v>
      </c>
      <c r="J126" s="300" t="str">
        <f>CHAR(39)</f>
        <v>'</v>
      </c>
      <c r="K126" t="s">
        <v>717</v>
      </c>
      <c r="L126" s="300" t="str">
        <f>CHAR(39)</f>
        <v>'</v>
      </c>
      <c r="M126" t="str">
        <f>TRIM(E126)</f>
        <v>415 Building</v>
      </c>
      <c r="N126" s="300" t="str">
        <f>CHAR(39)</f>
        <v>'</v>
      </c>
      <c r="O126" t="s">
        <v>718</v>
      </c>
      <c r="P126" s="300" t="str">
        <f>CHAR(39)</f>
        <v>'</v>
      </c>
      <c r="Q126" t="str">
        <f>TRIM(SUBSTITUTE(IF(C126=0,"",C126),"'","''"))</f>
        <v>Dustin Alwine (M)</v>
      </c>
      <c r="R126" s="300" t="str">
        <f>CHAR(39)</f>
        <v>'</v>
      </c>
      <c r="S126" t="s">
        <v>719</v>
      </c>
      <c r="T126" s="300" t="str">
        <f>CHAR(39)</f>
        <v>'</v>
      </c>
      <c r="U126" t="str">
        <f>TRIM(SUBSTITUTE(A126,"'","''"))</f>
        <v>LINE KITTING MATERIAL</v>
      </c>
      <c r="V126" s="300" t="str">
        <f>CHAR(39)</f>
        <v>'</v>
      </c>
      <c r="W126" t="s">
        <v>720</v>
      </c>
      <c r="X126">
        <f>IF(ISNUMBER(B126),B126,CHAR(39)&amp;TRIM(B126)&amp;CHAR(39))</f>
        <v>5016</v>
      </c>
      <c r="Z126" t="str">
        <f>_xlfn.CONCAT(G126:X126)</f>
        <v>update [dbo].[Inventory] Set [Auditor]  = 'Rob Cowan (M)',[Building]  = '415 Building',[Writer] = 'Dustin Alwine (M)',[AreaDesc] = 'LINE KITTING MATERIAL' where [Area]=5016</v>
      </c>
      <c r="AB126" t="s">
        <v>851</v>
      </c>
    </row>
    <row r="127" spans="1:28">
      <c r="A127" t="s">
        <v>403</v>
      </c>
      <c r="B127">
        <v>5017</v>
      </c>
      <c r="C127" t="s">
        <v>448</v>
      </c>
      <c r="D127" t="s">
        <v>447</v>
      </c>
      <c r="E127" t="s">
        <v>832</v>
      </c>
      <c r="G127" t="s">
        <v>716</v>
      </c>
      <c r="H127" s="300" t="str">
        <f>CHAR(39)</f>
        <v>'</v>
      </c>
      <c r="I127" t="str">
        <f>TRIM(SUBSTITUTE(D127,"'","''"))</f>
        <v>Rob Cowan (M)</v>
      </c>
      <c r="J127" s="300" t="str">
        <f>CHAR(39)</f>
        <v>'</v>
      </c>
      <c r="K127" t="s">
        <v>717</v>
      </c>
      <c r="L127" s="300" t="str">
        <f>CHAR(39)</f>
        <v>'</v>
      </c>
      <c r="M127" t="str">
        <f>TRIM(E127)</f>
        <v>415 Building</v>
      </c>
      <c r="N127" s="300" t="str">
        <f>CHAR(39)</f>
        <v>'</v>
      </c>
      <c r="O127" t="s">
        <v>718</v>
      </c>
      <c r="P127" s="300" t="str">
        <f>CHAR(39)</f>
        <v>'</v>
      </c>
      <c r="Q127" t="str">
        <f>TRIM(SUBSTITUTE(IF(C127=0,"",C127),"'","''"))</f>
        <v>Dewayne Turnbo</v>
      </c>
      <c r="R127" s="300" t="str">
        <f>CHAR(39)</f>
        <v>'</v>
      </c>
      <c r="S127" t="s">
        <v>719</v>
      </c>
      <c r="T127" s="300" t="str">
        <f>CHAR(39)</f>
        <v>'</v>
      </c>
      <c r="U127" t="str">
        <f>TRIM(SUBSTITUTE(A127,"'","''"))</f>
        <v>LINE KITTING MATERIAL</v>
      </c>
      <c r="V127" s="300" t="str">
        <f>CHAR(39)</f>
        <v>'</v>
      </c>
      <c r="W127" t="s">
        <v>720</v>
      </c>
      <c r="X127">
        <f>IF(ISNUMBER(B127),B127,CHAR(39)&amp;TRIM(B127)&amp;CHAR(39))</f>
        <v>5017</v>
      </c>
      <c r="Z127" t="str">
        <f>_xlfn.CONCAT(G127:X127)</f>
        <v>update [dbo].[Inventory] Set [Auditor]  = 'Rob Cowan (M)',[Building]  = '415 Building',[Writer] = 'Dewayne Turnbo',[AreaDesc] = 'LINE KITTING MATERIAL' where [Area]=5017</v>
      </c>
      <c r="AB127" t="s">
        <v>852</v>
      </c>
    </row>
    <row r="128" spans="1:28">
      <c r="A128" t="s">
        <v>450</v>
      </c>
      <c r="B128">
        <v>5018</v>
      </c>
      <c r="C128" t="s">
        <v>451</v>
      </c>
      <c r="D128" t="s">
        <v>453</v>
      </c>
      <c r="E128" t="s">
        <v>832</v>
      </c>
      <c r="G128" t="s">
        <v>716</v>
      </c>
      <c r="H128" s="300" t="str">
        <f>CHAR(39)</f>
        <v>'</v>
      </c>
      <c r="I128" t="str">
        <f>TRIM(SUBSTITUTE(D128,"'","''"))</f>
        <v>Rich Mcphee (S)</v>
      </c>
      <c r="J128" s="300" t="str">
        <f>CHAR(39)</f>
        <v>'</v>
      </c>
      <c r="K128" t="s">
        <v>717</v>
      </c>
      <c r="L128" s="300" t="str">
        <f>CHAR(39)</f>
        <v>'</v>
      </c>
      <c r="M128" t="str">
        <f>TRIM(E128)</f>
        <v>415 Building</v>
      </c>
      <c r="N128" s="300" t="str">
        <f>CHAR(39)</f>
        <v>'</v>
      </c>
      <c r="O128" t="s">
        <v>718</v>
      </c>
      <c r="P128" s="300" t="str">
        <f>CHAR(39)</f>
        <v>'</v>
      </c>
      <c r="Q128" t="str">
        <f>TRIM(SUBSTITUTE(IF(C128=0,"",C128),"'","''"))</f>
        <v>Korey Carpenter (M)</v>
      </c>
      <c r="R128" s="300" t="str">
        <f>CHAR(39)</f>
        <v>'</v>
      </c>
      <c r="S128" t="s">
        <v>719</v>
      </c>
      <c r="T128" s="300" t="str">
        <f>CHAR(39)</f>
        <v>'</v>
      </c>
      <c r="U128" t="str">
        <f>TRIM(SUBSTITUTE(A128,"'","''"))</f>
        <v>CONSOLE KITTING MATERIAL</v>
      </c>
      <c r="V128" s="300" t="str">
        <f>CHAR(39)</f>
        <v>'</v>
      </c>
      <c r="W128" t="s">
        <v>720</v>
      </c>
      <c r="X128">
        <f>IF(ISNUMBER(B128),B128,CHAR(39)&amp;TRIM(B128)&amp;CHAR(39))</f>
        <v>5018</v>
      </c>
      <c r="Z128" t="str">
        <f>_xlfn.CONCAT(G128:X128)</f>
        <v>update [dbo].[Inventory] Set [Auditor]  = 'Rich Mcphee (S)',[Building]  = '415 Building',[Writer] = 'Korey Carpenter (M)',[AreaDesc] = 'CONSOLE KITTING MATERIAL' where [Area]=5018</v>
      </c>
      <c r="AB128" t="s">
        <v>853</v>
      </c>
    </row>
    <row r="129" spans="1:28">
      <c r="A129" t="s">
        <v>450</v>
      </c>
      <c r="B129">
        <v>5019</v>
      </c>
      <c r="C129" t="s">
        <v>454</v>
      </c>
      <c r="D129" t="s">
        <v>453</v>
      </c>
      <c r="E129" t="s">
        <v>832</v>
      </c>
      <c r="G129" t="s">
        <v>716</v>
      </c>
      <c r="H129" s="300" t="str">
        <f>CHAR(39)</f>
        <v>'</v>
      </c>
      <c r="I129" t="str">
        <f>TRIM(SUBSTITUTE(D129,"'","''"))</f>
        <v>Rich Mcphee (S)</v>
      </c>
      <c r="J129" s="300" t="str">
        <f>CHAR(39)</f>
        <v>'</v>
      </c>
      <c r="K129" t="s">
        <v>717</v>
      </c>
      <c r="L129" s="300" t="str">
        <f>CHAR(39)</f>
        <v>'</v>
      </c>
      <c r="M129" t="str">
        <f>TRIM(E129)</f>
        <v>415 Building</v>
      </c>
      <c r="N129" s="300" t="str">
        <f>CHAR(39)</f>
        <v>'</v>
      </c>
      <c r="O129" t="s">
        <v>718</v>
      </c>
      <c r="P129" s="300" t="str">
        <f>CHAR(39)</f>
        <v>'</v>
      </c>
      <c r="Q129" t="str">
        <f>TRIM(SUBSTITUTE(IF(C129=0,"",C129),"'","''"))</f>
        <v>Troy Weaver (M)</v>
      </c>
      <c r="R129" s="300" t="str">
        <f>CHAR(39)</f>
        <v>'</v>
      </c>
      <c r="S129" t="s">
        <v>719</v>
      </c>
      <c r="T129" s="300" t="str">
        <f>CHAR(39)</f>
        <v>'</v>
      </c>
      <c r="U129" t="str">
        <f>TRIM(SUBSTITUTE(A129,"'","''"))</f>
        <v>CONSOLE KITTING MATERIAL</v>
      </c>
      <c r="V129" s="300" t="str">
        <f>CHAR(39)</f>
        <v>'</v>
      </c>
      <c r="W129" t="s">
        <v>720</v>
      </c>
      <c r="X129">
        <f>IF(ISNUMBER(B129),B129,CHAR(39)&amp;TRIM(B129)&amp;CHAR(39))</f>
        <v>5019</v>
      </c>
      <c r="Z129" t="str">
        <f>_xlfn.CONCAT(G129:X129)</f>
        <v>update [dbo].[Inventory] Set [Auditor]  = 'Rich Mcphee (S)',[Building]  = '415 Building',[Writer] = 'Troy Weaver (M)',[AreaDesc] = 'CONSOLE KITTING MATERIAL' where [Area]=5019</v>
      </c>
      <c r="AB129" t="s">
        <v>854</v>
      </c>
    </row>
    <row r="130" spans="1:28">
      <c r="A130" t="s">
        <v>450</v>
      </c>
      <c r="B130">
        <v>5020</v>
      </c>
      <c r="C130" t="s">
        <v>456</v>
      </c>
      <c r="D130" t="s">
        <v>458</v>
      </c>
      <c r="E130" t="s">
        <v>832</v>
      </c>
      <c r="G130" t="s">
        <v>716</v>
      </c>
      <c r="H130" s="300" t="str">
        <f>CHAR(39)</f>
        <v>'</v>
      </c>
      <c r="I130" t="str">
        <f>TRIM(SUBSTITUTE(D130,"'","''"))</f>
        <v>Joseph Braun (M)</v>
      </c>
      <c r="J130" s="300" t="str">
        <f>CHAR(39)</f>
        <v>'</v>
      </c>
      <c r="K130" t="s">
        <v>717</v>
      </c>
      <c r="L130" s="300" t="str">
        <f>CHAR(39)</f>
        <v>'</v>
      </c>
      <c r="M130" t="str">
        <f>TRIM(E130)</f>
        <v>415 Building</v>
      </c>
      <c r="N130" s="300" t="str">
        <f>CHAR(39)</f>
        <v>'</v>
      </c>
      <c r="O130" t="s">
        <v>718</v>
      </c>
      <c r="P130" s="300" t="str">
        <f>CHAR(39)</f>
        <v>'</v>
      </c>
      <c r="Q130" t="str">
        <f>TRIM(SUBSTITUTE(IF(C130=0,"",C130),"'","''"))</f>
        <v>Trellus Washington (M)</v>
      </c>
      <c r="R130" s="300" t="str">
        <f>CHAR(39)</f>
        <v>'</v>
      </c>
      <c r="S130" t="s">
        <v>719</v>
      </c>
      <c r="T130" s="300" t="str">
        <f>CHAR(39)</f>
        <v>'</v>
      </c>
      <c r="U130" t="str">
        <f>TRIM(SUBSTITUTE(A130,"'","''"))</f>
        <v>CONSOLE KITTING MATERIAL</v>
      </c>
      <c r="V130" s="300" t="str">
        <f>CHAR(39)</f>
        <v>'</v>
      </c>
      <c r="W130" t="s">
        <v>720</v>
      </c>
      <c r="X130">
        <f>IF(ISNUMBER(B130),B130,CHAR(39)&amp;TRIM(B130)&amp;CHAR(39))</f>
        <v>5020</v>
      </c>
      <c r="Z130" t="str">
        <f>_xlfn.CONCAT(G130:X130)</f>
        <v>update [dbo].[Inventory] Set [Auditor]  = 'Joseph Braun (M)',[Building]  = '415 Building',[Writer] = 'Trellus Washington (M)',[AreaDesc] = 'CONSOLE KITTING MATERIAL' where [Area]=5020</v>
      </c>
      <c r="AB130" t="s">
        <v>855</v>
      </c>
    </row>
    <row r="131" spans="1:28">
      <c r="A131" t="s">
        <v>450</v>
      </c>
      <c r="B131">
        <v>5070</v>
      </c>
      <c r="C131" t="s">
        <v>459</v>
      </c>
      <c r="D131" t="s">
        <v>461</v>
      </c>
      <c r="E131" t="s">
        <v>832</v>
      </c>
      <c r="G131" t="s">
        <v>716</v>
      </c>
      <c r="H131" s="300" t="str">
        <f>CHAR(39)</f>
        <v>'</v>
      </c>
      <c r="I131" t="str">
        <f>TRIM(SUBSTITUTE(D131,"'","''"))</f>
        <v>Brian Rupp (ENG)</v>
      </c>
      <c r="J131" s="300" t="str">
        <f>CHAR(39)</f>
        <v>'</v>
      </c>
      <c r="K131" t="s">
        <v>717</v>
      </c>
      <c r="L131" s="300" t="str">
        <f>CHAR(39)</f>
        <v>'</v>
      </c>
      <c r="M131" t="str">
        <f>TRIM(E131)</f>
        <v>415 Building</v>
      </c>
      <c r="N131" s="300" t="str">
        <f>CHAR(39)</f>
        <v>'</v>
      </c>
      <c r="O131" t="s">
        <v>718</v>
      </c>
      <c r="P131" s="300" t="str">
        <f>CHAR(39)</f>
        <v>'</v>
      </c>
      <c r="Q131" t="str">
        <f>TRIM(SUBSTITUTE(IF(C131=0,"",C131),"'","''"))</f>
        <v>Cole Thompson (M)</v>
      </c>
      <c r="R131" s="300" t="str">
        <f>CHAR(39)</f>
        <v>'</v>
      </c>
      <c r="S131" t="s">
        <v>719</v>
      </c>
      <c r="T131" s="300" t="str">
        <f>CHAR(39)</f>
        <v>'</v>
      </c>
      <c r="U131" t="str">
        <f>TRIM(SUBSTITUTE(A131,"'","''"))</f>
        <v>CONSOLE KITTING MATERIAL</v>
      </c>
      <c r="V131" s="300" t="str">
        <f>CHAR(39)</f>
        <v>'</v>
      </c>
      <c r="W131" t="s">
        <v>720</v>
      </c>
      <c r="X131">
        <f>IF(ISNUMBER(B131),B131,CHAR(39)&amp;TRIM(B131)&amp;CHAR(39))</f>
        <v>5070</v>
      </c>
      <c r="Z131" t="str">
        <f>_xlfn.CONCAT(G131:X131)</f>
        <v>update [dbo].[Inventory] Set [Auditor]  = 'Brian Rupp (ENG)',[Building]  = '415 Building',[Writer] = 'Cole Thompson (M)',[AreaDesc] = 'CONSOLE KITTING MATERIAL' where [Area]=5070</v>
      </c>
      <c r="AB131" t="s">
        <v>856</v>
      </c>
    </row>
    <row r="132" spans="1:28">
      <c r="A132" t="s">
        <v>450</v>
      </c>
      <c r="B132">
        <v>5021</v>
      </c>
      <c r="C132" t="s">
        <v>462</v>
      </c>
      <c r="D132" t="s">
        <v>464</v>
      </c>
      <c r="E132" t="s">
        <v>832</v>
      </c>
      <c r="G132" t="s">
        <v>716</v>
      </c>
      <c r="H132" s="300" t="str">
        <f>CHAR(39)</f>
        <v>'</v>
      </c>
      <c r="I132" t="str">
        <f>TRIM(SUBSTITUTE(D132,"'","''"))</f>
        <v>Kennedy McCue (M)</v>
      </c>
      <c r="J132" s="300" t="str">
        <f>CHAR(39)</f>
        <v>'</v>
      </c>
      <c r="K132" t="s">
        <v>717</v>
      </c>
      <c r="L132" s="300" t="str">
        <f>CHAR(39)</f>
        <v>'</v>
      </c>
      <c r="M132" t="str">
        <f>TRIM(E132)</f>
        <v>415 Building</v>
      </c>
      <c r="N132" s="300" t="str">
        <f>CHAR(39)</f>
        <v>'</v>
      </c>
      <c r="O132" t="s">
        <v>718</v>
      </c>
      <c r="P132" s="300" t="str">
        <f>CHAR(39)</f>
        <v>'</v>
      </c>
      <c r="Q132" t="str">
        <f>TRIM(SUBSTITUTE(IF(C132=0,"",C132),"'","''"))</f>
        <v>Christopher Laws (M)</v>
      </c>
      <c r="R132" s="300" t="str">
        <f>CHAR(39)</f>
        <v>'</v>
      </c>
      <c r="S132" t="s">
        <v>719</v>
      </c>
      <c r="T132" s="300" t="str">
        <f>CHAR(39)</f>
        <v>'</v>
      </c>
      <c r="U132" t="str">
        <f>TRIM(SUBSTITUTE(A132,"'","''"))</f>
        <v>CONSOLE KITTING MATERIAL</v>
      </c>
      <c r="V132" s="300" t="str">
        <f>CHAR(39)</f>
        <v>'</v>
      </c>
      <c r="W132" t="s">
        <v>720</v>
      </c>
      <c r="X132">
        <f>IF(ISNUMBER(B132),B132,CHAR(39)&amp;TRIM(B132)&amp;CHAR(39))</f>
        <v>5021</v>
      </c>
      <c r="Z132" t="str">
        <f>_xlfn.CONCAT(G132:X132)</f>
        <v>update [dbo].[Inventory] Set [Auditor]  = 'Kennedy McCue (M)',[Building]  = '415 Building',[Writer] = 'Christopher Laws (M)',[AreaDesc] = 'CONSOLE KITTING MATERIAL' where [Area]=5021</v>
      </c>
      <c r="AB132" t="s">
        <v>857</v>
      </c>
    </row>
    <row r="133" spans="1:28">
      <c r="A133" t="s">
        <v>450</v>
      </c>
      <c r="B133">
        <v>5022</v>
      </c>
      <c r="C133" t="s">
        <v>465</v>
      </c>
      <c r="D133" t="s">
        <v>467</v>
      </c>
      <c r="E133" t="s">
        <v>832</v>
      </c>
      <c r="G133" t="s">
        <v>716</v>
      </c>
      <c r="H133" s="300" t="str">
        <f>CHAR(39)</f>
        <v>'</v>
      </c>
      <c r="I133" t="str">
        <f>TRIM(SUBSTITUTE(D133,"'","''"))</f>
        <v>Jeff Petersen (M)</v>
      </c>
      <c r="J133" s="300" t="str">
        <f>CHAR(39)</f>
        <v>'</v>
      </c>
      <c r="K133" t="s">
        <v>717</v>
      </c>
      <c r="L133" s="300" t="str">
        <f>CHAR(39)</f>
        <v>'</v>
      </c>
      <c r="M133" t="str">
        <f>TRIM(E133)</f>
        <v>415 Building</v>
      </c>
      <c r="N133" s="300" t="str">
        <f>CHAR(39)</f>
        <v>'</v>
      </c>
      <c r="O133" t="s">
        <v>718</v>
      </c>
      <c r="P133" s="300" t="str">
        <f>CHAR(39)</f>
        <v>'</v>
      </c>
      <c r="Q133" t="str">
        <f>TRIM(SUBSTITUTE(IF(C133=0,"",C133),"'","''"))</f>
        <v>Marylou Sanchez (M)</v>
      </c>
      <c r="R133" s="300" t="str">
        <f>CHAR(39)</f>
        <v>'</v>
      </c>
      <c r="S133" t="s">
        <v>719</v>
      </c>
      <c r="T133" s="300" t="str">
        <f>CHAR(39)</f>
        <v>'</v>
      </c>
      <c r="U133" t="str">
        <f>TRIM(SUBSTITUTE(A133,"'","''"))</f>
        <v>CONSOLE KITTING MATERIAL</v>
      </c>
      <c r="V133" s="300" t="str">
        <f>CHAR(39)</f>
        <v>'</v>
      </c>
      <c r="W133" t="s">
        <v>720</v>
      </c>
      <c r="X133">
        <f>IF(ISNUMBER(B133),B133,CHAR(39)&amp;TRIM(B133)&amp;CHAR(39))</f>
        <v>5022</v>
      </c>
      <c r="Z133" t="str">
        <f>_xlfn.CONCAT(G133:X133)</f>
        <v>update [dbo].[Inventory] Set [Auditor]  = 'Jeff Petersen (M)',[Building]  = '415 Building',[Writer] = 'Marylou Sanchez (M)',[AreaDesc] = 'CONSOLE KITTING MATERIAL' where [Area]=5022</v>
      </c>
      <c r="AB133" t="s">
        <v>858</v>
      </c>
    </row>
    <row r="134" spans="1:28">
      <c r="A134" t="s">
        <v>450</v>
      </c>
      <c r="B134">
        <v>5023</v>
      </c>
      <c r="C134" t="s">
        <v>468</v>
      </c>
      <c r="D134" t="s">
        <v>470</v>
      </c>
      <c r="E134" t="s">
        <v>832</v>
      </c>
      <c r="G134" t="s">
        <v>716</v>
      </c>
      <c r="H134" s="300" t="str">
        <f>CHAR(39)</f>
        <v>'</v>
      </c>
      <c r="I134" t="str">
        <f>TRIM(SUBSTITUTE(D134,"'","''"))</f>
        <v>Elijah Burch (S)</v>
      </c>
      <c r="J134" s="300" t="str">
        <f>CHAR(39)</f>
        <v>'</v>
      </c>
      <c r="K134" t="s">
        <v>717</v>
      </c>
      <c r="L134" s="300" t="str">
        <f>CHAR(39)</f>
        <v>'</v>
      </c>
      <c r="M134" t="str">
        <f>TRIM(E134)</f>
        <v>415 Building</v>
      </c>
      <c r="N134" s="300" t="str">
        <f>CHAR(39)</f>
        <v>'</v>
      </c>
      <c r="O134" t="s">
        <v>718</v>
      </c>
      <c r="P134" s="300" t="str">
        <f>CHAR(39)</f>
        <v>'</v>
      </c>
      <c r="Q134" t="str">
        <f>TRIM(SUBSTITUTE(IF(C134=0,"",C134),"'","''"))</f>
        <v>Jesus Gonzalez</v>
      </c>
      <c r="R134" s="300" t="str">
        <f>CHAR(39)</f>
        <v>'</v>
      </c>
      <c r="S134" t="s">
        <v>719</v>
      </c>
      <c r="T134" s="300" t="str">
        <f>CHAR(39)</f>
        <v>'</v>
      </c>
      <c r="U134" t="str">
        <f>TRIM(SUBSTITUTE(A134,"'","''"))</f>
        <v>CONSOLE KITTING MATERIAL</v>
      </c>
      <c r="V134" s="300" t="str">
        <f>CHAR(39)</f>
        <v>'</v>
      </c>
      <c r="W134" t="s">
        <v>720</v>
      </c>
      <c r="X134">
        <f>IF(ISNUMBER(B134),B134,CHAR(39)&amp;TRIM(B134)&amp;CHAR(39))</f>
        <v>5023</v>
      </c>
      <c r="Z134" t="str">
        <f>_xlfn.CONCAT(G134:X134)</f>
        <v>update [dbo].[Inventory] Set [Auditor]  = 'Elijah Burch (S)',[Building]  = '415 Building',[Writer] = 'Jesus Gonzalez',[AreaDesc] = 'CONSOLE KITTING MATERIAL' where [Area]=5023</v>
      </c>
      <c r="AB134" t="s">
        <v>859</v>
      </c>
    </row>
    <row r="135" spans="1:28">
      <c r="A135" t="s">
        <v>450</v>
      </c>
      <c r="B135">
        <v>5024</v>
      </c>
      <c r="C135" t="s">
        <v>468</v>
      </c>
      <c r="D135" t="s">
        <v>470</v>
      </c>
      <c r="E135" t="s">
        <v>832</v>
      </c>
      <c r="G135" t="s">
        <v>716</v>
      </c>
      <c r="H135" s="300" t="str">
        <f>CHAR(39)</f>
        <v>'</v>
      </c>
      <c r="I135" t="str">
        <f>TRIM(SUBSTITUTE(D135,"'","''"))</f>
        <v>Elijah Burch (S)</v>
      </c>
      <c r="J135" s="300" t="str">
        <f>CHAR(39)</f>
        <v>'</v>
      </c>
      <c r="K135" t="s">
        <v>717</v>
      </c>
      <c r="L135" s="300" t="str">
        <f>CHAR(39)</f>
        <v>'</v>
      </c>
      <c r="M135" t="str">
        <f>TRIM(E135)</f>
        <v>415 Building</v>
      </c>
      <c r="N135" s="300" t="str">
        <f>CHAR(39)</f>
        <v>'</v>
      </c>
      <c r="O135" t="s">
        <v>718</v>
      </c>
      <c r="P135" s="300" t="str">
        <f>CHAR(39)</f>
        <v>'</v>
      </c>
      <c r="Q135" t="str">
        <f>TRIM(SUBSTITUTE(IF(C135=0,"",C135),"'","''"))</f>
        <v>Jesus Gonzalez</v>
      </c>
      <c r="R135" s="300" t="str">
        <f>CHAR(39)</f>
        <v>'</v>
      </c>
      <c r="S135" t="s">
        <v>719</v>
      </c>
      <c r="T135" s="300" t="str">
        <f>CHAR(39)</f>
        <v>'</v>
      </c>
      <c r="U135" t="str">
        <f>TRIM(SUBSTITUTE(A135,"'","''"))</f>
        <v>CONSOLE KITTING MATERIAL</v>
      </c>
      <c r="V135" s="300" t="str">
        <f>CHAR(39)</f>
        <v>'</v>
      </c>
      <c r="W135" t="s">
        <v>720</v>
      </c>
      <c r="X135">
        <f>IF(ISNUMBER(B135),B135,CHAR(39)&amp;TRIM(B135)&amp;CHAR(39))</f>
        <v>5024</v>
      </c>
      <c r="Z135" t="str">
        <f>_xlfn.CONCAT(G135:X135)</f>
        <v>update [dbo].[Inventory] Set [Auditor]  = 'Elijah Burch (S)',[Building]  = '415 Building',[Writer] = 'Jesus Gonzalez',[AreaDesc] = 'CONSOLE KITTING MATERIAL' where [Area]=5024</v>
      </c>
      <c r="AB135" t="s">
        <v>860</v>
      </c>
    </row>
    <row r="136" spans="1:28">
      <c r="A136" t="s">
        <v>450</v>
      </c>
      <c r="B136">
        <v>5025</v>
      </c>
      <c r="C136" t="s">
        <v>472</v>
      </c>
      <c r="D136" t="s">
        <v>461</v>
      </c>
      <c r="E136" t="s">
        <v>832</v>
      </c>
      <c r="G136" t="s">
        <v>716</v>
      </c>
      <c r="H136" s="300" t="str">
        <f>CHAR(39)</f>
        <v>'</v>
      </c>
      <c r="I136" t="str">
        <f>TRIM(SUBSTITUTE(D136,"'","''"))</f>
        <v>Brian Rupp (ENG)</v>
      </c>
      <c r="J136" s="300" t="str">
        <f>CHAR(39)</f>
        <v>'</v>
      </c>
      <c r="K136" t="s">
        <v>717</v>
      </c>
      <c r="L136" s="300" t="str">
        <f>CHAR(39)</f>
        <v>'</v>
      </c>
      <c r="M136" t="str">
        <f>TRIM(E136)</f>
        <v>415 Building</v>
      </c>
      <c r="N136" s="300" t="str">
        <f>CHAR(39)</f>
        <v>'</v>
      </c>
      <c r="O136" t="s">
        <v>718</v>
      </c>
      <c r="P136" s="300" t="str">
        <f>CHAR(39)</f>
        <v>'</v>
      </c>
      <c r="Q136" t="str">
        <f>TRIM(SUBSTITUTE(IF(C136=0,"",C136),"'","''"))</f>
        <v>(Charon) Ronnie Hart (N)</v>
      </c>
      <c r="R136" s="300" t="str">
        <f>CHAR(39)</f>
        <v>'</v>
      </c>
      <c r="S136" t="s">
        <v>719</v>
      </c>
      <c r="T136" s="300" t="str">
        <f>CHAR(39)</f>
        <v>'</v>
      </c>
      <c r="U136" t="str">
        <f>TRIM(SUBSTITUTE(A136,"'","''"))</f>
        <v>CONSOLE KITTING MATERIAL</v>
      </c>
      <c r="V136" s="300" t="str">
        <f>CHAR(39)</f>
        <v>'</v>
      </c>
      <c r="W136" t="s">
        <v>720</v>
      </c>
      <c r="X136">
        <f>IF(ISNUMBER(B136),B136,CHAR(39)&amp;TRIM(B136)&amp;CHAR(39))</f>
        <v>5025</v>
      </c>
      <c r="Z136" t="str">
        <f>_xlfn.CONCAT(G136:X136)</f>
        <v>update [dbo].[Inventory] Set [Auditor]  = 'Brian Rupp (ENG)',[Building]  = '415 Building',[Writer] = '(Charon) Ronnie Hart (N)',[AreaDesc] = 'CONSOLE KITTING MATERIAL' where [Area]=5025</v>
      </c>
      <c r="AB136" t="s">
        <v>861</v>
      </c>
    </row>
    <row r="137" spans="1:28">
      <c r="A137" t="s">
        <v>450</v>
      </c>
      <c r="B137">
        <v>5026</v>
      </c>
      <c r="C137" t="s">
        <v>474</v>
      </c>
      <c r="D137" t="s">
        <v>476</v>
      </c>
      <c r="E137" t="s">
        <v>832</v>
      </c>
      <c r="G137" t="s">
        <v>716</v>
      </c>
      <c r="H137" s="300" t="str">
        <f>CHAR(39)</f>
        <v>'</v>
      </c>
      <c r="I137" t="str">
        <f>TRIM(SUBSTITUTE(D137,"'","''"))</f>
        <v>Ashlee Villwok (M)</v>
      </c>
      <c r="J137" s="300" t="str">
        <f>CHAR(39)</f>
        <v>'</v>
      </c>
      <c r="K137" t="s">
        <v>717</v>
      </c>
      <c r="L137" s="300" t="str">
        <f>CHAR(39)</f>
        <v>'</v>
      </c>
      <c r="M137" t="str">
        <f>TRIM(E137)</f>
        <v>415 Building</v>
      </c>
      <c r="N137" s="300" t="str">
        <f>CHAR(39)</f>
        <v>'</v>
      </c>
      <c r="O137" t="s">
        <v>718</v>
      </c>
      <c r="P137" s="300" t="str">
        <f>CHAR(39)</f>
        <v>'</v>
      </c>
      <c r="Q137" t="str">
        <f>TRIM(SUBSTITUTE(IF(C137=0,"",C137),"'","''"))</f>
        <v>Daniel Alanis Caballero (M)</v>
      </c>
      <c r="R137" s="300" t="str">
        <f>CHAR(39)</f>
        <v>'</v>
      </c>
      <c r="S137" t="s">
        <v>719</v>
      </c>
      <c r="T137" s="300" t="str">
        <f>CHAR(39)</f>
        <v>'</v>
      </c>
      <c r="U137" t="str">
        <f>TRIM(SUBSTITUTE(A137,"'","''"))</f>
        <v>CONSOLE KITTING MATERIAL</v>
      </c>
      <c r="V137" s="300" t="str">
        <f>CHAR(39)</f>
        <v>'</v>
      </c>
      <c r="W137" t="s">
        <v>720</v>
      </c>
      <c r="X137">
        <f>IF(ISNUMBER(B137),B137,CHAR(39)&amp;TRIM(B137)&amp;CHAR(39))</f>
        <v>5026</v>
      </c>
      <c r="Z137" t="str">
        <f>_xlfn.CONCAT(G137:X137)</f>
        <v>update [dbo].[Inventory] Set [Auditor]  = 'Ashlee Villwok (M)',[Building]  = '415 Building',[Writer] = 'Daniel Alanis Caballero (M)',[AreaDesc] = 'CONSOLE KITTING MATERIAL' where [Area]=5026</v>
      </c>
      <c r="AB137" t="s">
        <v>862</v>
      </c>
    </row>
    <row r="138" spans="1:28">
      <c r="A138" t="s">
        <v>450</v>
      </c>
      <c r="B138">
        <v>5027</v>
      </c>
      <c r="C138" t="s">
        <v>448</v>
      </c>
      <c r="D138" t="s">
        <v>478</v>
      </c>
      <c r="E138" t="s">
        <v>832</v>
      </c>
      <c r="G138" t="s">
        <v>716</v>
      </c>
      <c r="H138" s="300" t="str">
        <f>CHAR(39)</f>
        <v>'</v>
      </c>
      <c r="I138" t="str">
        <f>TRIM(SUBSTITUTE(D138,"'","''"))</f>
        <v>Aaron McCollough (S)</v>
      </c>
      <c r="J138" s="300" t="str">
        <f>CHAR(39)</f>
        <v>'</v>
      </c>
      <c r="K138" t="s">
        <v>717</v>
      </c>
      <c r="L138" s="300" t="str">
        <f>CHAR(39)</f>
        <v>'</v>
      </c>
      <c r="M138" t="str">
        <f>TRIM(E138)</f>
        <v>415 Building</v>
      </c>
      <c r="N138" s="300" t="str">
        <f>CHAR(39)</f>
        <v>'</v>
      </c>
      <c r="O138" t="s">
        <v>718</v>
      </c>
      <c r="P138" s="300" t="str">
        <f>CHAR(39)</f>
        <v>'</v>
      </c>
      <c r="Q138" t="str">
        <f>TRIM(SUBSTITUTE(IF(C138=0,"",C138),"'","''"))</f>
        <v>Dewayne Turnbo</v>
      </c>
      <c r="R138" s="300" t="str">
        <f>CHAR(39)</f>
        <v>'</v>
      </c>
      <c r="S138" t="s">
        <v>719</v>
      </c>
      <c r="T138" s="300" t="str">
        <f>CHAR(39)</f>
        <v>'</v>
      </c>
      <c r="U138" t="str">
        <f>TRIM(SUBSTITUTE(A138,"'","''"))</f>
        <v>CONSOLE KITTING MATERIAL</v>
      </c>
      <c r="V138" s="300" t="str">
        <f>CHAR(39)</f>
        <v>'</v>
      </c>
      <c r="W138" t="s">
        <v>720</v>
      </c>
      <c r="X138">
        <f>IF(ISNUMBER(B138),B138,CHAR(39)&amp;TRIM(B138)&amp;CHAR(39))</f>
        <v>5027</v>
      </c>
      <c r="Z138" t="str">
        <f>_xlfn.CONCAT(G138:X138)</f>
        <v>update [dbo].[Inventory] Set [Auditor]  = 'Aaron McCollough (S)',[Building]  = '415 Building',[Writer] = 'Dewayne Turnbo',[AreaDesc] = 'CONSOLE KITTING MATERIAL' where [Area]=5027</v>
      </c>
      <c r="AB138" t="s">
        <v>863</v>
      </c>
    </row>
    <row r="139" spans="1:28">
      <c r="A139" t="s">
        <v>450</v>
      </c>
      <c r="B139">
        <v>5028</v>
      </c>
      <c r="C139" t="s">
        <v>454</v>
      </c>
      <c r="D139" t="s">
        <v>478</v>
      </c>
      <c r="E139" t="s">
        <v>832</v>
      </c>
      <c r="G139" t="s">
        <v>716</v>
      </c>
      <c r="H139" s="300" t="str">
        <f>CHAR(39)</f>
        <v>'</v>
      </c>
      <c r="I139" t="str">
        <f>TRIM(SUBSTITUTE(D139,"'","''"))</f>
        <v>Aaron McCollough (S)</v>
      </c>
      <c r="J139" s="300" t="str">
        <f>CHAR(39)</f>
        <v>'</v>
      </c>
      <c r="K139" t="s">
        <v>717</v>
      </c>
      <c r="L139" s="300" t="str">
        <f>CHAR(39)</f>
        <v>'</v>
      </c>
      <c r="M139" t="str">
        <f>TRIM(E139)</f>
        <v>415 Building</v>
      </c>
      <c r="N139" s="300" t="str">
        <f>CHAR(39)</f>
        <v>'</v>
      </c>
      <c r="O139" t="s">
        <v>718</v>
      </c>
      <c r="P139" s="300" t="str">
        <f>CHAR(39)</f>
        <v>'</v>
      </c>
      <c r="Q139" t="str">
        <f>TRIM(SUBSTITUTE(IF(C139=0,"",C139),"'","''"))</f>
        <v>Troy Weaver (M)</v>
      </c>
      <c r="R139" s="300" t="str">
        <f>CHAR(39)</f>
        <v>'</v>
      </c>
      <c r="S139" t="s">
        <v>719</v>
      </c>
      <c r="T139" s="300" t="str">
        <f>CHAR(39)</f>
        <v>'</v>
      </c>
      <c r="U139" t="str">
        <f>TRIM(SUBSTITUTE(A139,"'","''"))</f>
        <v>CONSOLE KITTING MATERIAL</v>
      </c>
      <c r="V139" s="300" t="str">
        <f>CHAR(39)</f>
        <v>'</v>
      </c>
      <c r="W139" t="s">
        <v>720</v>
      </c>
      <c r="X139">
        <f>IF(ISNUMBER(B139),B139,CHAR(39)&amp;TRIM(B139)&amp;CHAR(39))</f>
        <v>5028</v>
      </c>
      <c r="Z139" t="str">
        <f>_xlfn.CONCAT(G139:X139)</f>
        <v>update [dbo].[Inventory] Set [Auditor]  = 'Aaron McCollough (S)',[Building]  = '415 Building',[Writer] = 'Troy Weaver (M)',[AreaDesc] = 'CONSOLE KITTING MATERIAL' where [Area]=5028</v>
      </c>
      <c r="AB139" t="s">
        <v>864</v>
      </c>
    </row>
    <row r="140" spans="1:28">
      <c r="A140" t="s">
        <v>450</v>
      </c>
      <c r="B140">
        <v>5029</v>
      </c>
      <c r="C140" t="s">
        <v>480</v>
      </c>
      <c r="D140" t="s">
        <v>476</v>
      </c>
      <c r="E140" t="s">
        <v>832</v>
      </c>
      <c r="G140" t="s">
        <v>716</v>
      </c>
      <c r="H140" s="300" t="str">
        <f>CHAR(39)</f>
        <v>'</v>
      </c>
      <c r="I140" t="str">
        <f>TRIM(SUBSTITUTE(D140,"'","''"))</f>
        <v>Ashlee Villwok (M)</v>
      </c>
      <c r="J140" s="300" t="str">
        <f>CHAR(39)</f>
        <v>'</v>
      </c>
      <c r="K140" t="s">
        <v>717</v>
      </c>
      <c r="L140" s="300" t="str">
        <f>CHAR(39)</f>
        <v>'</v>
      </c>
      <c r="M140" t="str">
        <f>TRIM(E140)</f>
        <v>415 Building</v>
      </c>
      <c r="N140" s="300" t="str">
        <f>CHAR(39)</f>
        <v>'</v>
      </c>
      <c r="O140" t="s">
        <v>718</v>
      </c>
      <c r="P140" s="300" t="str">
        <f>CHAR(39)</f>
        <v>'</v>
      </c>
      <c r="Q140" t="str">
        <f>TRIM(SUBSTITUTE(IF(C140=0,"",C140),"'","''"))</f>
        <v>Isaiah Kenney</v>
      </c>
      <c r="R140" s="300" t="str">
        <f>CHAR(39)</f>
        <v>'</v>
      </c>
      <c r="S140" t="s">
        <v>719</v>
      </c>
      <c r="T140" s="300" t="str">
        <f>CHAR(39)</f>
        <v>'</v>
      </c>
      <c r="U140" t="str">
        <f>TRIM(SUBSTITUTE(A140,"'","''"))</f>
        <v>CONSOLE KITTING MATERIAL</v>
      </c>
      <c r="V140" s="300" t="str">
        <f>CHAR(39)</f>
        <v>'</v>
      </c>
      <c r="W140" t="s">
        <v>720</v>
      </c>
      <c r="X140">
        <f>IF(ISNUMBER(B140),B140,CHAR(39)&amp;TRIM(B140)&amp;CHAR(39))</f>
        <v>5029</v>
      </c>
      <c r="Z140" t="str">
        <f>_xlfn.CONCAT(G140:X140)</f>
        <v>update [dbo].[Inventory] Set [Auditor]  = 'Ashlee Villwok (M)',[Building]  = '415 Building',[Writer] = 'Isaiah Kenney',[AreaDesc] = 'CONSOLE KITTING MATERIAL' where [Area]=5029</v>
      </c>
      <c r="AB140" t="s">
        <v>865</v>
      </c>
    </row>
    <row r="141" spans="1:28">
      <c r="A141" t="s">
        <v>482</v>
      </c>
      <c r="B141">
        <v>5030</v>
      </c>
      <c r="C141" t="s">
        <v>483</v>
      </c>
      <c r="D141" t="s">
        <v>485</v>
      </c>
      <c r="E141" t="s">
        <v>832</v>
      </c>
      <c r="G141" t="s">
        <v>716</v>
      </c>
      <c r="H141" s="300" t="str">
        <f>CHAR(39)</f>
        <v>'</v>
      </c>
      <c r="I141" t="str">
        <f>TRIM(SUBSTITUTE(D141,"'","''"))</f>
        <v>Rich Wegner (M)</v>
      </c>
      <c r="J141" s="300" t="str">
        <f>CHAR(39)</f>
        <v>'</v>
      </c>
      <c r="K141" t="s">
        <v>717</v>
      </c>
      <c r="L141" s="300" t="str">
        <f>CHAR(39)</f>
        <v>'</v>
      </c>
      <c r="M141" t="str">
        <f>TRIM(E141)</f>
        <v>415 Building</v>
      </c>
      <c r="N141" s="300" t="str">
        <f>CHAR(39)</f>
        <v>'</v>
      </c>
      <c r="O141" t="s">
        <v>718</v>
      </c>
      <c r="P141" s="300" t="str">
        <f>CHAR(39)</f>
        <v>'</v>
      </c>
      <c r="Q141" t="str">
        <f>TRIM(SUBSTITUTE(IF(C141=0,"",C141),"'","''"))</f>
        <v>Alex Coker (M)</v>
      </c>
      <c r="R141" s="300" t="str">
        <f>CHAR(39)</f>
        <v>'</v>
      </c>
      <c r="S141" t="s">
        <v>719</v>
      </c>
      <c r="T141" s="300" t="str">
        <f>CHAR(39)</f>
        <v>'</v>
      </c>
      <c r="U141" t="str">
        <f>TRIM(SUBSTITUTE(A141,"'","''"))</f>
        <v>MISC</v>
      </c>
      <c r="V141" s="300" t="str">
        <f>CHAR(39)</f>
        <v>'</v>
      </c>
      <c r="W141" t="s">
        <v>720</v>
      </c>
      <c r="X141">
        <f>IF(ISNUMBER(B141),B141,CHAR(39)&amp;TRIM(B141)&amp;CHAR(39))</f>
        <v>5030</v>
      </c>
      <c r="Z141" t="str">
        <f>_xlfn.CONCAT(G141:X141)</f>
        <v>update [dbo].[Inventory] Set [Auditor]  = 'Rich Wegner (M)',[Building]  = '415 Building',[Writer] = 'Alex Coker (M)',[AreaDesc] = 'MISC' where [Area]=5030</v>
      </c>
      <c r="AB141" t="s">
        <v>866</v>
      </c>
    </row>
    <row r="142" spans="1:28">
      <c r="A142" t="s">
        <v>482</v>
      </c>
      <c r="B142">
        <v>5031</v>
      </c>
      <c r="C142" t="s">
        <v>486</v>
      </c>
      <c r="D142" t="s">
        <v>488</v>
      </c>
      <c r="E142" t="s">
        <v>832</v>
      </c>
      <c r="G142" t="s">
        <v>716</v>
      </c>
      <c r="H142" s="300" t="str">
        <f>CHAR(39)</f>
        <v>'</v>
      </c>
      <c r="I142" t="str">
        <f>TRIM(SUBSTITUTE(D142,"'","''"))</f>
        <v>Craig Hall</v>
      </c>
      <c r="J142" s="300" t="str">
        <f>CHAR(39)</f>
        <v>'</v>
      </c>
      <c r="K142" t="s">
        <v>717</v>
      </c>
      <c r="L142" s="300" t="str">
        <f>CHAR(39)</f>
        <v>'</v>
      </c>
      <c r="M142" t="str">
        <f>TRIM(E142)</f>
        <v>415 Building</v>
      </c>
      <c r="N142" s="300" t="str">
        <f>CHAR(39)</f>
        <v>'</v>
      </c>
      <c r="O142" t="s">
        <v>718</v>
      </c>
      <c r="P142" s="300" t="str">
        <f>CHAR(39)</f>
        <v>'</v>
      </c>
      <c r="Q142" t="str">
        <f>TRIM(SUBSTITUTE(IF(C142=0,"",C142),"'","''"))</f>
        <v>Barbara Woost</v>
      </c>
      <c r="R142" s="300" t="str">
        <f>CHAR(39)</f>
        <v>'</v>
      </c>
      <c r="S142" t="s">
        <v>719</v>
      </c>
      <c r="T142" s="300" t="str">
        <f>CHAR(39)</f>
        <v>'</v>
      </c>
      <c r="U142" t="str">
        <f>TRIM(SUBSTITUTE(A142,"'","''"))</f>
        <v>MISC</v>
      </c>
      <c r="V142" s="300" t="str">
        <f>CHAR(39)</f>
        <v>'</v>
      </c>
      <c r="W142" t="s">
        <v>720</v>
      </c>
      <c r="X142">
        <f>IF(ISNUMBER(B142),B142,CHAR(39)&amp;TRIM(B142)&amp;CHAR(39))</f>
        <v>5031</v>
      </c>
      <c r="Z142" t="str">
        <f>_xlfn.CONCAT(G142:X142)</f>
        <v>update [dbo].[Inventory] Set [Auditor]  = 'Craig Hall',[Building]  = '415 Building',[Writer] = 'Barbara Woost',[AreaDesc] = 'MISC' where [Area]=5031</v>
      </c>
      <c r="AB142" t="s">
        <v>867</v>
      </c>
    </row>
    <row r="143" spans="1:28">
      <c r="A143" t="s">
        <v>482</v>
      </c>
      <c r="B143">
        <v>5032</v>
      </c>
      <c r="C143" t="s">
        <v>486</v>
      </c>
      <c r="D143" t="s">
        <v>488</v>
      </c>
      <c r="E143" t="s">
        <v>832</v>
      </c>
      <c r="G143" t="s">
        <v>716</v>
      </c>
      <c r="H143" s="300" t="str">
        <f>CHAR(39)</f>
        <v>'</v>
      </c>
      <c r="I143" t="str">
        <f>TRIM(SUBSTITUTE(D143,"'","''"))</f>
        <v>Craig Hall</v>
      </c>
      <c r="J143" s="300" t="str">
        <f>CHAR(39)</f>
        <v>'</v>
      </c>
      <c r="K143" t="s">
        <v>717</v>
      </c>
      <c r="L143" s="300" t="str">
        <f>CHAR(39)</f>
        <v>'</v>
      </c>
      <c r="M143" t="str">
        <f>TRIM(E143)</f>
        <v>415 Building</v>
      </c>
      <c r="N143" s="300" t="str">
        <f>CHAR(39)</f>
        <v>'</v>
      </c>
      <c r="O143" t="s">
        <v>718</v>
      </c>
      <c r="P143" s="300" t="str">
        <f>CHAR(39)</f>
        <v>'</v>
      </c>
      <c r="Q143" t="str">
        <f>TRIM(SUBSTITUTE(IF(C143=0,"",C143),"'","''"))</f>
        <v>Barbara Woost</v>
      </c>
      <c r="R143" s="300" t="str">
        <f>CHAR(39)</f>
        <v>'</v>
      </c>
      <c r="S143" t="s">
        <v>719</v>
      </c>
      <c r="T143" s="300" t="str">
        <f>CHAR(39)</f>
        <v>'</v>
      </c>
      <c r="U143" t="str">
        <f>TRIM(SUBSTITUTE(A143,"'","''"))</f>
        <v>MISC</v>
      </c>
      <c r="V143" s="300" t="str">
        <f>CHAR(39)</f>
        <v>'</v>
      </c>
      <c r="W143" t="s">
        <v>720</v>
      </c>
      <c r="X143">
        <f>IF(ISNUMBER(B143),B143,CHAR(39)&amp;TRIM(B143)&amp;CHAR(39))</f>
        <v>5032</v>
      </c>
      <c r="Z143" t="str">
        <f>_xlfn.CONCAT(G143:X143)</f>
        <v>update [dbo].[Inventory] Set [Auditor]  = 'Craig Hall',[Building]  = '415 Building',[Writer] = 'Barbara Woost',[AreaDesc] = 'MISC' where [Area]=5032</v>
      </c>
      <c r="AB143" t="s">
        <v>868</v>
      </c>
    </row>
    <row r="144" spans="1:28">
      <c r="A144" t="s">
        <v>482</v>
      </c>
      <c r="B144">
        <v>5033</v>
      </c>
      <c r="C144" t="s">
        <v>490</v>
      </c>
      <c r="D144" t="s">
        <v>492</v>
      </c>
      <c r="E144" t="s">
        <v>832</v>
      </c>
      <c r="G144" t="s">
        <v>716</v>
      </c>
      <c r="H144" s="300" t="str">
        <f>CHAR(39)</f>
        <v>'</v>
      </c>
      <c r="I144" t="str">
        <f>TRIM(SUBSTITUTE(D144,"'","''"))</f>
        <v>Craig Blume (ENG)</v>
      </c>
      <c r="J144" s="300" t="str">
        <f>CHAR(39)</f>
        <v>'</v>
      </c>
      <c r="K144" t="s">
        <v>717</v>
      </c>
      <c r="L144" s="300" t="str">
        <f>CHAR(39)</f>
        <v>'</v>
      </c>
      <c r="M144" t="str">
        <f>TRIM(E144)</f>
        <v>415 Building</v>
      </c>
      <c r="N144" s="300" t="str">
        <f>CHAR(39)</f>
        <v>'</v>
      </c>
      <c r="O144" t="s">
        <v>718</v>
      </c>
      <c r="P144" s="300" t="str">
        <f>CHAR(39)</f>
        <v>'</v>
      </c>
      <c r="Q144" t="str">
        <f>TRIM(SUBSTITUTE(IF(C144=0,"",C144),"'","''"))</f>
        <v>Robert Bower (M)</v>
      </c>
      <c r="R144" s="300" t="str">
        <f>CHAR(39)</f>
        <v>'</v>
      </c>
      <c r="S144" t="s">
        <v>719</v>
      </c>
      <c r="T144" s="300" t="str">
        <f>CHAR(39)</f>
        <v>'</v>
      </c>
      <c r="U144" t="str">
        <f>TRIM(SUBSTITUTE(A144,"'","''"))</f>
        <v>MISC</v>
      </c>
      <c r="V144" s="300" t="str">
        <f>CHAR(39)</f>
        <v>'</v>
      </c>
      <c r="W144" t="s">
        <v>720</v>
      </c>
      <c r="X144">
        <f>IF(ISNUMBER(B144),B144,CHAR(39)&amp;TRIM(B144)&amp;CHAR(39))</f>
        <v>5033</v>
      </c>
      <c r="Z144" t="str">
        <f>_xlfn.CONCAT(G144:X144)</f>
        <v>update [dbo].[Inventory] Set [Auditor]  = 'Craig Blume (ENG)',[Building]  = '415 Building',[Writer] = 'Robert Bower (M)',[AreaDesc] = 'MISC' where [Area]=5033</v>
      </c>
      <c r="AB144" t="s">
        <v>869</v>
      </c>
    </row>
    <row r="145" spans="1:28">
      <c r="A145" t="s">
        <v>482</v>
      </c>
      <c r="B145">
        <v>5034</v>
      </c>
      <c r="C145" t="s">
        <v>493</v>
      </c>
      <c r="D145" t="s">
        <v>495</v>
      </c>
      <c r="E145" t="s">
        <v>832</v>
      </c>
      <c r="G145" t="s">
        <v>716</v>
      </c>
      <c r="H145" s="300" t="str">
        <f>CHAR(39)</f>
        <v>'</v>
      </c>
      <c r="I145" t="str">
        <f>TRIM(SUBSTITUTE(D145,"'","''"))</f>
        <v>Eileen Davis (ENG)</v>
      </c>
      <c r="J145" s="300" t="str">
        <f>CHAR(39)</f>
        <v>'</v>
      </c>
      <c r="K145" t="s">
        <v>717</v>
      </c>
      <c r="L145" s="300" t="str">
        <f>CHAR(39)</f>
        <v>'</v>
      </c>
      <c r="M145" t="str">
        <f>TRIM(E145)</f>
        <v>415 Building</v>
      </c>
      <c r="N145" s="300" t="str">
        <f>CHAR(39)</f>
        <v>'</v>
      </c>
      <c r="O145" t="s">
        <v>718</v>
      </c>
      <c r="P145" s="300" t="str">
        <f>CHAR(39)</f>
        <v>'</v>
      </c>
      <c r="Q145" t="str">
        <f>TRIM(SUBSTITUTE(IF(C145=0,"",C145),"'","''"))</f>
        <v>Owen Fish (Shipping)</v>
      </c>
      <c r="R145" s="300" t="str">
        <f>CHAR(39)</f>
        <v>'</v>
      </c>
      <c r="S145" t="s">
        <v>719</v>
      </c>
      <c r="T145" s="300" t="str">
        <f>CHAR(39)</f>
        <v>'</v>
      </c>
      <c r="U145" t="str">
        <f>TRIM(SUBSTITUTE(A145,"'","''"))</f>
        <v>MISC</v>
      </c>
      <c r="V145" s="300" t="str">
        <f>CHAR(39)</f>
        <v>'</v>
      </c>
      <c r="W145" t="s">
        <v>720</v>
      </c>
      <c r="X145">
        <f>IF(ISNUMBER(B145),B145,CHAR(39)&amp;TRIM(B145)&amp;CHAR(39))</f>
        <v>5034</v>
      </c>
      <c r="Z145" t="str">
        <f>_xlfn.CONCAT(G145:X145)</f>
        <v>update [dbo].[Inventory] Set [Auditor]  = 'Eileen Davis (ENG)',[Building]  = '415 Building',[Writer] = 'Owen Fish (Shipping)',[AreaDesc] = 'MISC' where [Area]=5034</v>
      </c>
      <c r="AB145" t="s">
        <v>870</v>
      </c>
    </row>
    <row r="146" spans="1:28">
      <c r="A146" t="s">
        <v>482</v>
      </c>
      <c r="B146">
        <v>5035</v>
      </c>
      <c r="C146" t="s">
        <v>496</v>
      </c>
      <c r="D146" t="s">
        <v>498</v>
      </c>
      <c r="E146" t="s">
        <v>832</v>
      </c>
      <c r="G146" t="s">
        <v>716</v>
      </c>
      <c r="H146" s="300" t="str">
        <f>CHAR(39)</f>
        <v>'</v>
      </c>
      <c r="I146" t="str">
        <f>TRIM(SUBSTITUTE(D146,"'","''"))</f>
        <v>Anthony Simeri (S)</v>
      </c>
      <c r="J146" s="300" t="str">
        <f>CHAR(39)</f>
        <v>'</v>
      </c>
      <c r="K146" t="s">
        <v>717</v>
      </c>
      <c r="L146" s="300" t="str">
        <f>CHAR(39)</f>
        <v>'</v>
      </c>
      <c r="M146" t="str">
        <f>TRIM(E146)</f>
        <v>415 Building</v>
      </c>
      <c r="N146" s="300" t="str">
        <f>CHAR(39)</f>
        <v>'</v>
      </c>
      <c r="O146" t="s">
        <v>718</v>
      </c>
      <c r="P146" s="300" t="str">
        <f>CHAR(39)</f>
        <v>'</v>
      </c>
      <c r="Q146" t="str">
        <f>TRIM(SUBSTITUTE(IF(C146=0,"",C146),"'","''"))</f>
        <v>Jacob Mullins (M)</v>
      </c>
      <c r="R146" s="300" t="str">
        <f>CHAR(39)</f>
        <v>'</v>
      </c>
      <c r="S146" t="s">
        <v>719</v>
      </c>
      <c r="T146" s="300" t="str">
        <f>CHAR(39)</f>
        <v>'</v>
      </c>
      <c r="U146" t="str">
        <f>TRIM(SUBSTITUTE(A146,"'","''"))</f>
        <v>MISC</v>
      </c>
      <c r="V146" s="300" t="str">
        <f>CHAR(39)</f>
        <v>'</v>
      </c>
      <c r="W146" t="s">
        <v>720</v>
      </c>
      <c r="X146">
        <f>IF(ISNUMBER(B146),B146,CHAR(39)&amp;TRIM(B146)&amp;CHAR(39))</f>
        <v>5035</v>
      </c>
      <c r="Z146" t="str">
        <f>_xlfn.CONCAT(G146:X146)</f>
        <v>update [dbo].[Inventory] Set [Auditor]  = 'Anthony Simeri (S)',[Building]  = '415 Building',[Writer] = 'Jacob Mullins (M)',[AreaDesc] = 'MISC' where [Area]=5035</v>
      </c>
      <c r="AB146" t="s">
        <v>871</v>
      </c>
    </row>
    <row r="147" spans="1:28">
      <c r="A147" t="s">
        <v>482</v>
      </c>
      <c r="B147">
        <v>5036</v>
      </c>
      <c r="C147" t="s">
        <v>499</v>
      </c>
      <c r="D147" t="s">
        <v>501</v>
      </c>
      <c r="E147" t="s">
        <v>832</v>
      </c>
      <c r="G147" t="s">
        <v>716</v>
      </c>
      <c r="H147" s="300" t="str">
        <f>CHAR(39)</f>
        <v>'</v>
      </c>
      <c r="I147" t="str">
        <f>TRIM(SUBSTITUTE(D147,"'","''"))</f>
        <v>Lindsay Baker (M)</v>
      </c>
      <c r="J147" s="300" t="str">
        <f>CHAR(39)</f>
        <v>'</v>
      </c>
      <c r="K147" t="s">
        <v>717</v>
      </c>
      <c r="L147" s="300" t="str">
        <f>CHAR(39)</f>
        <v>'</v>
      </c>
      <c r="M147" t="str">
        <f>TRIM(E147)</f>
        <v>415 Building</v>
      </c>
      <c r="N147" s="300" t="str">
        <f>CHAR(39)</f>
        <v>'</v>
      </c>
      <c r="O147" t="s">
        <v>718</v>
      </c>
      <c r="P147" s="300" t="str">
        <f>CHAR(39)</f>
        <v>'</v>
      </c>
      <c r="Q147" t="str">
        <f>TRIM(SUBSTITUTE(IF(C147=0,"",C147),"'","''"))</f>
        <v>Kyle Barner (M)</v>
      </c>
      <c r="R147" s="300" t="str">
        <f>CHAR(39)</f>
        <v>'</v>
      </c>
      <c r="S147" t="s">
        <v>719</v>
      </c>
      <c r="T147" s="300" t="str">
        <f>CHAR(39)</f>
        <v>'</v>
      </c>
      <c r="U147" t="str">
        <f>TRIM(SUBSTITUTE(A147,"'","''"))</f>
        <v>MISC</v>
      </c>
      <c r="V147" s="300" t="str">
        <f>CHAR(39)</f>
        <v>'</v>
      </c>
      <c r="W147" t="s">
        <v>720</v>
      </c>
      <c r="X147">
        <f>IF(ISNUMBER(B147),B147,CHAR(39)&amp;TRIM(B147)&amp;CHAR(39))</f>
        <v>5036</v>
      </c>
      <c r="Z147" t="str">
        <f>_xlfn.CONCAT(G147:X147)</f>
        <v>update [dbo].[Inventory] Set [Auditor]  = 'Lindsay Baker (M)',[Building]  = '415 Building',[Writer] = 'Kyle Barner (M)',[AreaDesc] = 'MISC' where [Area]=5036</v>
      </c>
      <c r="AB147" t="s">
        <v>872</v>
      </c>
    </row>
    <row r="148" spans="1:28">
      <c r="A148" t="s">
        <v>482</v>
      </c>
      <c r="B148">
        <v>5037</v>
      </c>
      <c r="C148" t="s">
        <v>502</v>
      </c>
      <c r="D148" t="s">
        <v>467</v>
      </c>
      <c r="E148" t="s">
        <v>832</v>
      </c>
      <c r="G148" t="s">
        <v>716</v>
      </c>
      <c r="H148" s="300" t="str">
        <f>CHAR(39)</f>
        <v>'</v>
      </c>
      <c r="I148" t="str">
        <f>TRIM(SUBSTITUTE(D148,"'","''"))</f>
        <v>Jeff Petersen (M)</v>
      </c>
      <c r="J148" s="300" t="str">
        <f>CHAR(39)</f>
        <v>'</v>
      </c>
      <c r="K148" t="s">
        <v>717</v>
      </c>
      <c r="L148" s="300" t="str">
        <f>CHAR(39)</f>
        <v>'</v>
      </c>
      <c r="M148" t="str">
        <f>TRIM(E148)</f>
        <v>415 Building</v>
      </c>
      <c r="N148" s="300" t="str">
        <f>CHAR(39)</f>
        <v>'</v>
      </c>
      <c r="O148" t="s">
        <v>718</v>
      </c>
      <c r="P148" s="300" t="str">
        <f>CHAR(39)</f>
        <v>'</v>
      </c>
      <c r="Q148" t="str">
        <f>TRIM(SUBSTITUTE(IF(C148=0,"",C148),"'","''"))</f>
        <v>Henry Gawne Jr. (M)</v>
      </c>
      <c r="R148" s="300" t="str">
        <f>CHAR(39)</f>
        <v>'</v>
      </c>
      <c r="S148" t="s">
        <v>719</v>
      </c>
      <c r="T148" s="300" t="str">
        <f>CHAR(39)</f>
        <v>'</v>
      </c>
      <c r="U148" t="str">
        <f>TRIM(SUBSTITUTE(A148,"'","''"))</f>
        <v>MISC</v>
      </c>
      <c r="V148" s="300" t="str">
        <f>CHAR(39)</f>
        <v>'</v>
      </c>
      <c r="W148" t="s">
        <v>720</v>
      </c>
      <c r="X148">
        <f>IF(ISNUMBER(B148),B148,CHAR(39)&amp;TRIM(B148)&amp;CHAR(39))</f>
        <v>5037</v>
      </c>
      <c r="Z148" t="str">
        <f>_xlfn.CONCAT(G148:X148)</f>
        <v>update [dbo].[Inventory] Set [Auditor]  = 'Jeff Petersen (M)',[Building]  = '415 Building',[Writer] = 'Henry Gawne Jr. (M)',[AreaDesc] = 'MISC' where [Area]=5037</v>
      </c>
      <c r="AB148" t="s">
        <v>873</v>
      </c>
    </row>
    <row r="149" spans="1:28">
      <c r="A149" t="s">
        <v>482</v>
      </c>
      <c r="B149">
        <v>5038</v>
      </c>
      <c r="C149" t="s">
        <v>504</v>
      </c>
      <c r="D149" t="s">
        <v>506</v>
      </c>
      <c r="E149" t="s">
        <v>832</v>
      </c>
      <c r="G149" t="s">
        <v>716</v>
      </c>
      <c r="H149" s="300" t="str">
        <f>CHAR(39)</f>
        <v>'</v>
      </c>
      <c r="I149" t="str">
        <f>TRIM(SUBSTITUTE(D149,"'","''"))</f>
        <v>Justin Pontius (S)</v>
      </c>
      <c r="J149" s="300" t="str">
        <f>CHAR(39)</f>
        <v>'</v>
      </c>
      <c r="K149" t="s">
        <v>717</v>
      </c>
      <c r="L149" s="300" t="str">
        <f>CHAR(39)</f>
        <v>'</v>
      </c>
      <c r="M149" t="str">
        <f>TRIM(E149)</f>
        <v>415 Building</v>
      </c>
      <c r="N149" s="300" t="str">
        <f>CHAR(39)</f>
        <v>'</v>
      </c>
      <c r="O149" t="s">
        <v>718</v>
      </c>
      <c r="P149" s="300" t="str">
        <f>CHAR(39)</f>
        <v>'</v>
      </c>
      <c r="Q149" t="str">
        <f>TRIM(SUBSTITUTE(IF(C149=0,"",C149),"'","''"))</f>
        <v>Anthony Tirado (S)</v>
      </c>
      <c r="R149" s="300" t="str">
        <f>CHAR(39)</f>
        <v>'</v>
      </c>
      <c r="S149" t="s">
        <v>719</v>
      </c>
      <c r="T149" s="300" t="str">
        <f>CHAR(39)</f>
        <v>'</v>
      </c>
      <c r="U149" t="str">
        <f>TRIM(SUBSTITUTE(A149,"'","''"))</f>
        <v>MISC</v>
      </c>
      <c r="V149" s="300" t="str">
        <f>CHAR(39)</f>
        <v>'</v>
      </c>
      <c r="W149" t="s">
        <v>720</v>
      </c>
      <c r="X149">
        <f>IF(ISNUMBER(B149),B149,CHAR(39)&amp;TRIM(B149)&amp;CHAR(39))</f>
        <v>5038</v>
      </c>
      <c r="Z149" t="str">
        <f>_xlfn.CONCAT(G149:X149)</f>
        <v>update [dbo].[Inventory] Set [Auditor]  = 'Justin Pontius (S)',[Building]  = '415 Building',[Writer] = 'Anthony Tirado (S)',[AreaDesc] = 'MISC' where [Area]=5038</v>
      </c>
      <c r="AB149" t="s">
        <v>874</v>
      </c>
    </row>
    <row r="150" spans="1:28">
      <c r="A150" t="s">
        <v>507</v>
      </c>
      <c r="B150">
        <v>5039</v>
      </c>
      <c r="C150" t="s">
        <v>508</v>
      </c>
      <c r="D150" t="s">
        <v>510</v>
      </c>
      <c r="E150" t="s">
        <v>832</v>
      </c>
      <c r="G150" t="s">
        <v>716</v>
      </c>
      <c r="H150" s="300" t="str">
        <f>CHAR(39)</f>
        <v>'</v>
      </c>
      <c r="I150" t="str">
        <f>TRIM(SUBSTITUTE(D150,"'","''"))</f>
        <v>Craig Smith (ENG)</v>
      </c>
      <c r="J150" s="300" t="str">
        <f>CHAR(39)</f>
        <v>'</v>
      </c>
      <c r="K150" t="s">
        <v>717</v>
      </c>
      <c r="L150" s="300" t="str">
        <f>CHAR(39)</f>
        <v>'</v>
      </c>
      <c r="M150" t="str">
        <f>TRIM(E150)</f>
        <v>415 Building</v>
      </c>
      <c r="N150" s="300" t="str">
        <f>CHAR(39)</f>
        <v>'</v>
      </c>
      <c r="O150" t="s">
        <v>718</v>
      </c>
      <c r="P150" s="300" t="str">
        <f>CHAR(39)</f>
        <v>'</v>
      </c>
      <c r="Q150" t="str">
        <f>TRIM(SUBSTITUTE(IF(C150=0,"",C150),"'","''"))</f>
        <v>Quincie Owens (N)</v>
      </c>
      <c r="R150" s="300" t="str">
        <f>CHAR(39)</f>
        <v>'</v>
      </c>
      <c r="S150" t="s">
        <v>719</v>
      </c>
      <c r="T150" s="300" t="str">
        <f>CHAR(39)</f>
        <v>'</v>
      </c>
      <c r="U150" t="str">
        <f>TRIM(SUBSTITUTE(A150,"'","''"))</f>
        <v>METAL FAB</v>
      </c>
      <c r="V150" s="300" t="str">
        <f>CHAR(39)</f>
        <v>'</v>
      </c>
      <c r="W150" t="s">
        <v>720</v>
      </c>
      <c r="X150">
        <f>IF(ISNUMBER(B150),B150,CHAR(39)&amp;TRIM(B150)&amp;CHAR(39))</f>
        <v>5039</v>
      </c>
      <c r="Z150" t="str">
        <f>_xlfn.CONCAT(G150:X150)</f>
        <v>update [dbo].[Inventory] Set [Auditor]  = 'Craig Smith (ENG)',[Building]  = '415 Building',[Writer] = 'Quincie Owens (N)',[AreaDesc] = 'METAL FAB' where [Area]=5039</v>
      </c>
      <c r="AB150" t="s">
        <v>875</v>
      </c>
    </row>
    <row r="151" spans="1:28">
      <c r="A151" t="s">
        <v>482</v>
      </c>
      <c r="B151">
        <v>5040</v>
      </c>
      <c r="C151" t="s">
        <v>511</v>
      </c>
      <c r="D151" t="s">
        <v>513</v>
      </c>
      <c r="E151" t="s">
        <v>832</v>
      </c>
      <c r="G151" t="s">
        <v>716</v>
      </c>
      <c r="H151" s="300" t="str">
        <f>CHAR(39)</f>
        <v>'</v>
      </c>
      <c r="I151" t="str">
        <f>TRIM(SUBSTITUTE(D151,"'","''"))</f>
        <v>Mark Smith (S)</v>
      </c>
      <c r="J151" s="300" t="str">
        <f>CHAR(39)</f>
        <v>'</v>
      </c>
      <c r="K151" t="s">
        <v>717</v>
      </c>
      <c r="L151" s="300" t="str">
        <f>CHAR(39)</f>
        <v>'</v>
      </c>
      <c r="M151" t="str">
        <f>TRIM(E151)</f>
        <v>415 Building</v>
      </c>
      <c r="N151" s="300" t="str">
        <f>CHAR(39)</f>
        <v>'</v>
      </c>
      <c r="O151" t="s">
        <v>718</v>
      </c>
      <c r="P151" s="300" t="str">
        <f>CHAR(39)</f>
        <v>'</v>
      </c>
      <c r="Q151" t="str">
        <f>TRIM(SUBSTITUTE(IF(C151=0,"",C151),"'","''"))</f>
        <v>Jesus Mosquera (N)</v>
      </c>
      <c r="R151" s="300" t="str">
        <f>CHAR(39)</f>
        <v>'</v>
      </c>
      <c r="S151" t="s">
        <v>719</v>
      </c>
      <c r="T151" s="300" t="str">
        <f>CHAR(39)</f>
        <v>'</v>
      </c>
      <c r="U151" t="str">
        <f>TRIM(SUBSTITUTE(A151,"'","''"))</f>
        <v>MISC</v>
      </c>
      <c r="V151" s="300" t="str">
        <f>CHAR(39)</f>
        <v>'</v>
      </c>
      <c r="W151" t="s">
        <v>720</v>
      </c>
      <c r="X151">
        <f>IF(ISNUMBER(B151),B151,CHAR(39)&amp;TRIM(B151)&amp;CHAR(39))</f>
        <v>5040</v>
      </c>
      <c r="Z151" t="str">
        <f>_xlfn.CONCAT(G151:X151)</f>
        <v>update [dbo].[Inventory] Set [Auditor]  = 'Mark Smith (S)',[Building]  = '415 Building',[Writer] = 'Jesus Mosquera (N)',[AreaDesc] = 'MISC' where [Area]=5040</v>
      </c>
      <c r="AB151" t="s">
        <v>876</v>
      </c>
    </row>
    <row r="152" spans="1:28">
      <c r="A152" t="s">
        <v>482</v>
      </c>
      <c r="B152">
        <v>5041</v>
      </c>
      <c r="C152" t="s">
        <v>514</v>
      </c>
      <c r="D152" t="s">
        <v>516</v>
      </c>
      <c r="E152" t="s">
        <v>832</v>
      </c>
      <c r="G152" t="s">
        <v>716</v>
      </c>
      <c r="H152" s="300" t="str">
        <f>CHAR(39)</f>
        <v>'</v>
      </c>
      <c r="I152" t="str">
        <f>TRIM(SUBSTITUTE(D152,"'","''"))</f>
        <v>Victor Garcia</v>
      </c>
      <c r="J152" s="300" t="str">
        <f>CHAR(39)</f>
        <v>'</v>
      </c>
      <c r="K152" t="s">
        <v>717</v>
      </c>
      <c r="L152" s="300" t="str">
        <f>CHAR(39)</f>
        <v>'</v>
      </c>
      <c r="M152" t="str">
        <f>TRIM(E152)</f>
        <v>415 Building</v>
      </c>
      <c r="N152" s="300" t="str">
        <f>CHAR(39)</f>
        <v>'</v>
      </c>
      <c r="O152" t="s">
        <v>718</v>
      </c>
      <c r="P152" s="300" t="str">
        <f>CHAR(39)</f>
        <v>'</v>
      </c>
      <c r="Q152" t="str">
        <f>TRIM(SUBSTITUTE(IF(C152=0,"",C152),"'","''"))</f>
        <v>Bryan Valadez</v>
      </c>
      <c r="R152" s="300" t="str">
        <f>CHAR(39)</f>
        <v>'</v>
      </c>
      <c r="S152" t="s">
        <v>719</v>
      </c>
      <c r="T152" s="300" t="str">
        <f>CHAR(39)</f>
        <v>'</v>
      </c>
      <c r="U152" t="str">
        <f>TRIM(SUBSTITUTE(A152,"'","''"))</f>
        <v>MISC</v>
      </c>
      <c r="V152" s="300" t="str">
        <f>CHAR(39)</f>
        <v>'</v>
      </c>
      <c r="W152" t="s">
        <v>720</v>
      </c>
      <c r="X152">
        <f>IF(ISNUMBER(B152),B152,CHAR(39)&amp;TRIM(B152)&amp;CHAR(39))</f>
        <v>5041</v>
      </c>
      <c r="Z152" t="str">
        <f>_xlfn.CONCAT(G152:X152)</f>
        <v>update [dbo].[Inventory] Set [Auditor]  = 'Victor Garcia',[Building]  = '415 Building',[Writer] = 'Bryan Valadez',[AreaDesc] = 'MISC' where [Area]=5041</v>
      </c>
      <c r="AB152" t="s">
        <v>877</v>
      </c>
    </row>
    <row r="153" spans="1:28">
      <c r="A153" t="s">
        <v>482</v>
      </c>
      <c r="B153">
        <v>5042</v>
      </c>
      <c r="C153" t="s">
        <v>514</v>
      </c>
      <c r="D153" t="s">
        <v>517</v>
      </c>
      <c r="E153" t="s">
        <v>832</v>
      </c>
      <c r="G153" t="s">
        <v>716</v>
      </c>
      <c r="H153" s="300" t="str">
        <f>CHAR(39)</f>
        <v>'</v>
      </c>
      <c r="I153" t="str">
        <f>TRIM(SUBSTITUTE(D153,"'","''"))</f>
        <v>Victor Garcia</v>
      </c>
      <c r="J153" s="300" t="str">
        <f>CHAR(39)</f>
        <v>'</v>
      </c>
      <c r="K153" t="s">
        <v>717</v>
      </c>
      <c r="L153" s="300" t="str">
        <f>CHAR(39)</f>
        <v>'</v>
      </c>
      <c r="M153" t="str">
        <f>TRIM(E153)</f>
        <v>415 Building</v>
      </c>
      <c r="N153" s="300" t="str">
        <f>CHAR(39)</f>
        <v>'</v>
      </c>
      <c r="O153" t="s">
        <v>718</v>
      </c>
      <c r="P153" s="300" t="str">
        <f>CHAR(39)</f>
        <v>'</v>
      </c>
      <c r="Q153" t="str">
        <f>TRIM(SUBSTITUTE(IF(C153=0,"",C153),"'","''"))</f>
        <v>Bryan Valadez</v>
      </c>
      <c r="R153" s="300" t="str">
        <f>CHAR(39)</f>
        <v>'</v>
      </c>
      <c r="S153" t="s">
        <v>719</v>
      </c>
      <c r="T153" s="300" t="str">
        <f>CHAR(39)</f>
        <v>'</v>
      </c>
      <c r="U153" t="str">
        <f>TRIM(SUBSTITUTE(A153,"'","''"))</f>
        <v>MISC</v>
      </c>
      <c r="V153" s="300" t="str">
        <f>CHAR(39)</f>
        <v>'</v>
      </c>
      <c r="W153" t="s">
        <v>720</v>
      </c>
      <c r="X153">
        <f>IF(ISNUMBER(B153),B153,CHAR(39)&amp;TRIM(B153)&amp;CHAR(39))</f>
        <v>5042</v>
      </c>
      <c r="Z153" t="str">
        <f>_xlfn.CONCAT(G153:X153)</f>
        <v>update [dbo].[Inventory] Set [Auditor]  = 'Victor Garcia',[Building]  = '415 Building',[Writer] = 'Bryan Valadez',[AreaDesc] = 'MISC' where [Area]=5042</v>
      </c>
      <c r="AB153" t="s">
        <v>878</v>
      </c>
    </row>
    <row r="154" spans="1:28">
      <c r="A154" t="s">
        <v>482</v>
      </c>
      <c r="B154">
        <v>5043</v>
      </c>
      <c r="C154" t="s">
        <v>518</v>
      </c>
      <c r="D154" t="s">
        <v>506</v>
      </c>
      <c r="E154" t="s">
        <v>832</v>
      </c>
      <c r="G154" t="s">
        <v>716</v>
      </c>
      <c r="H154" s="300" t="str">
        <f>CHAR(39)</f>
        <v>'</v>
      </c>
      <c r="I154" t="str">
        <f>TRIM(SUBSTITUTE(D154,"'","''"))</f>
        <v>Justin Pontius (S)</v>
      </c>
      <c r="J154" s="300" t="str">
        <f>CHAR(39)</f>
        <v>'</v>
      </c>
      <c r="K154" t="s">
        <v>717</v>
      </c>
      <c r="L154" s="300" t="str">
        <f>CHAR(39)</f>
        <v>'</v>
      </c>
      <c r="M154" t="str">
        <f>TRIM(E154)</f>
        <v>415 Building</v>
      </c>
      <c r="N154" s="300" t="str">
        <f>CHAR(39)</f>
        <v>'</v>
      </c>
      <c r="O154" t="s">
        <v>718</v>
      </c>
      <c r="P154" s="300" t="str">
        <f>CHAR(39)</f>
        <v>'</v>
      </c>
      <c r="Q154" t="str">
        <f>TRIM(SUBSTITUTE(IF(C154=0,"",C154),"'","''"))</f>
        <v>Dienieth Sanchez De Bermudez (N)</v>
      </c>
      <c r="R154" s="300" t="str">
        <f>CHAR(39)</f>
        <v>'</v>
      </c>
      <c r="S154" t="s">
        <v>719</v>
      </c>
      <c r="T154" s="300" t="str">
        <f>CHAR(39)</f>
        <v>'</v>
      </c>
      <c r="U154" t="str">
        <f>TRIM(SUBSTITUTE(A154,"'","''"))</f>
        <v>MISC</v>
      </c>
      <c r="V154" s="300" t="str">
        <f>CHAR(39)</f>
        <v>'</v>
      </c>
      <c r="W154" t="s">
        <v>720</v>
      </c>
      <c r="X154">
        <f>IF(ISNUMBER(B154),B154,CHAR(39)&amp;TRIM(B154)&amp;CHAR(39))</f>
        <v>5043</v>
      </c>
      <c r="Z154" t="str">
        <f>_xlfn.CONCAT(G154:X154)</f>
        <v>update [dbo].[Inventory] Set [Auditor]  = 'Justin Pontius (S)',[Building]  = '415 Building',[Writer] = 'Dienieth Sanchez De Bermudez (N)',[AreaDesc] = 'MISC' where [Area]=5043</v>
      </c>
      <c r="AB154" t="s">
        <v>879</v>
      </c>
    </row>
    <row r="155" spans="1:28">
      <c r="A155" t="s">
        <v>482</v>
      </c>
      <c r="B155">
        <v>5044</v>
      </c>
      <c r="C155" t="s">
        <v>511</v>
      </c>
      <c r="D155" t="s">
        <v>513</v>
      </c>
      <c r="E155" t="s">
        <v>832</v>
      </c>
      <c r="G155" t="s">
        <v>716</v>
      </c>
      <c r="H155" s="300" t="str">
        <f>CHAR(39)</f>
        <v>'</v>
      </c>
      <c r="I155" t="str">
        <f>TRIM(SUBSTITUTE(D155,"'","''"))</f>
        <v>Mark Smith (S)</v>
      </c>
      <c r="J155" s="300" t="str">
        <f>CHAR(39)</f>
        <v>'</v>
      </c>
      <c r="K155" t="s">
        <v>717</v>
      </c>
      <c r="L155" s="300" t="str">
        <f>CHAR(39)</f>
        <v>'</v>
      </c>
      <c r="M155" t="str">
        <f>TRIM(E155)</f>
        <v>415 Building</v>
      </c>
      <c r="N155" s="300" t="str">
        <f>CHAR(39)</f>
        <v>'</v>
      </c>
      <c r="O155" t="s">
        <v>718</v>
      </c>
      <c r="P155" s="300" t="str">
        <f>CHAR(39)</f>
        <v>'</v>
      </c>
      <c r="Q155" t="str">
        <f>TRIM(SUBSTITUTE(IF(C155=0,"",C155),"'","''"))</f>
        <v>Jesus Mosquera (N)</v>
      </c>
      <c r="R155" s="300" t="str">
        <f>CHAR(39)</f>
        <v>'</v>
      </c>
      <c r="S155" t="s">
        <v>719</v>
      </c>
      <c r="T155" s="300" t="str">
        <f>CHAR(39)</f>
        <v>'</v>
      </c>
      <c r="U155" t="str">
        <f>TRIM(SUBSTITUTE(A155,"'","''"))</f>
        <v>MISC</v>
      </c>
      <c r="V155" s="300" t="str">
        <f>CHAR(39)</f>
        <v>'</v>
      </c>
      <c r="W155" t="s">
        <v>720</v>
      </c>
      <c r="X155">
        <f>IF(ISNUMBER(B155),B155,CHAR(39)&amp;TRIM(B155)&amp;CHAR(39))</f>
        <v>5044</v>
      </c>
      <c r="Z155" t="str">
        <f>_xlfn.CONCAT(G155:X155)</f>
        <v>update [dbo].[Inventory] Set [Auditor]  = 'Mark Smith (S)',[Building]  = '415 Building',[Writer] = 'Jesus Mosquera (N)',[AreaDesc] = 'MISC' where [Area]=5044</v>
      </c>
      <c r="AB155" t="s">
        <v>880</v>
      </c>
    </row>
    <row r="156" spans="1:28">
      <c r="A156" t="s">
        <v>482</v>
      </c>
      <c r="B156">
        <v>5071</v>
      </c>
      <c r="C156" t="s">
        <v>520</v>
      </c>
      <c r="D156" t="s">
        <v>510</v>
      </c>
      <c r="E156" t="s">
        <v>832</v>
      </c>
      <c r="G156" t="s">
        <v>716</v>
      </c>
      <c r="H156" s="300" t="str">
        <f>CHAR(39)</f>
        <v>'</v>
      </c>
      <c r="I156" t="str">
        <f>TRIM(SUBSTITUTE(D156,"'","''"))</f>
        <v>Craig Smith (ENG)</v>
      </c>
      <c r="J156" s="300" t="str">
        <f>CHAR(39)</f>
        <v>'</v>
      </c>
      <c r="K156" t="s">
        <v>717</v>
      </c>
      <c r="L156" s="300" t="str">
        <f>CHAR(39)</f>
        <v>'</v>
      </c>
      <c r="M156" t="str">
        <f>TRIM(E156)</f>
        <v>415 Building</v>
      </c>
      <c r="N156" s="300" t="str">
        <f>CHAR(39)</f>
        <v>'</v>
      </c>
      <c r="O156" t="s">
        <v>718</v>
      </c>
      <c r="P156" s="300" t="str">
        <f>CHAR(39)</f>
        <v>'</v>
      </c>
      <c r="Q156" t="str">
        <f>TRIM(SUBSTITUTE(IF(C156=0,"",C156),"'","''"))</f>
        <v>David Kittimasak (N)</v>
      </c>
      <c r="R156" s="300" t="str">
        <f>CHAR(39)</f>
        <v>'</v>
      </c>
      <c r="S156" t="s">
        <v>719</v>
      </c>
      <c r="T156" s="300" t="str">
        <f>CHAR(39)</f>
        <v>'</v>
      </c>
      <c r="U156" t="str">
        <f>TRIM(SUBSTITUTE(A156,"'","''"))</f>
        <v>MISC</v>
      </c>
      <c r="V156" s="300" t="str">
        <f>CHAR(39)</f>
        <v>'</v>
      </c>
      <c r="W156" t="s">
        <v>720</v>
      </c>
      <c r="X156">
        <f>IF(ISNUMBER(B156),B156,CHAR(39)&amp;TRIM(B156)&amp;CHAR(39))</f>
        <v>5071</v>
      </c>
      <c r="Z156" t="str">
        <f>_xlfn.CONCAT(G156:X156)</f>
        <v>update [dbo].[Inventory] Set [Auditor]  = 'Craig Smith (ENG)',[Building]  = '415 Building',[Writer] = 'David Kittimasak (N)',[AreaDesc] = 'MISC' where [Area]=5071</v>
      </c>
      <c r="AB156" t="s">
        <v>881</v>
      </c>
    </row>
    <row r="157" spans="1:28">
      <c r="A157" t="s">
        <v>482</v>
      </c>
      <c r="B157">
        <v>5045</v>
      </c>
      <c r="C157" t="s">
        <v>522</v>
      </c>
      <c r="D157" t="s">
        <v>523</v>
      </c>
      <c r="E157" t="s">
        <v>832</v>
      </c>
      <c r="G157" t="s">
        <v>716</v>
      </c>
      <c r="H157" s="300" t="str">
        <f>CHAR(39)</f>
        <v>'</v>
      </c>
      <c r="I157" t="str">
        <f>TRIM(SUBSTITUTE(D157,"'","''"))</f>
        <v>Nick Sceggell (S)</v>
      </c>
      <c r="J157" s="300" t="str">
        <f>CHAR(39)</f>
        <v>'</v>
      </c>
      <c r="K157" t="s">
        <v>717</v>
      </c>
      <c r="L157" s="300" t="str">
        <f>CHAR(39)</f>
        <v>'</v>
      </c>
      <c r="M157" t="str">
        <f>TRIM(E157)</f>
        <v>415 Building</v>
      </c>
      <c r="N157" s="300" t="str">
        <f>CHAR(39)</f>
        <v>'</v>
      </c>
      <c r="O157" t="s">
        <v>718</v>
      </c>
      <c r="P157" s="300" t="str">
        <f>CHAR(39)</f>
        <v>'</v>
      </c>
      <c r="Q157" t="str">
        <f>TRIM(SUBSTITUTE(IF(C157=0,"",C157),"'","''"))</f>
        <v>William Perach</v>
      </c>
      <c r="R157" s="300" t="str">
        <f>CHAR(39)</f>
        <v>'</v>
      </c>
      <c r="S157" t="s">
        <v>719</v>
      </c>
      <c r="T157" s="300" t="str">
        <f>CHAR(39)</f>
        <v>'</v>
      </c>
      <c r="U157" t="str">
        <f>TRIM(SUBSTITUTE(A157,"'","''"))</f>
        <v>MISC</v>
      </c>
      <c r="V157" s="300" t="str">
        <f>CHAR(39)</f>
        <v>'</v>
      </c>
      <c r="W157" t="s">
        <v>720</v>
      </c>
      <c r="X157">
        <f>IF(ISNUMBER(B157),B157,CHAR(39)&amp;TRIM(B157)&amp;CHAR(39))</f>
        <v>5045</v>
      </c>
      <c r="Z157" t="str">
        <f>_xlfn.CONCAT(G157:X157)</f>
        <v>update [dbo].[Inventory] Set [Auditor]  = 'Nick Sceggell (S)',[Building]  = '415 Building',[Writer] = 'William Perach',[AreaDesc] = 'MISC' where [Area]=5045</v>
      </c>
      <c r="AB157" t="s">
        <v>882</v>
      </c>
    </row>
    <row r="158" spans="1:28">
      <c r="A158" t="s">
        <v>482</v>
      </c>
      <c r="B158">
        <v>5046</v>
      </c>
      <c r="C158" t="s">
        <v>524</v>
      </c>
      <c r="D158" t="s">
        <v>523</v>
      </c>
      <c r="E158" t="s">
        <v>832</v>
      </c>
      <c r="G158" t="s">
        <v>716</v>
      </c>
      <c r="H158" s="300" t="str">
        <f>CHAR(39)</f>
        <v>'</v>
      </c>
      <c r="I158" t="str">
        <f>TRIM(SUBSTITUTE(D158,"'","''"))</f>
        <v>Nick Sceggell (S)</v>
      </c>
      <c r="J158" s="300" t="str">
        <f>CHAR(39)</f>
        <v>'</v>
      </c>
      <c r="K158" t="s">
        <v>717</v>
      </c>
      <c r="L158" s="300" t="str">
        <f>CHAR(39)</f>
        <v>'</v>
      </c>
      <c r="M158" t="str">
        <f>TRIM(E158)</f>
        <v>415 Building</v>
      </c>
      <c r="N158" s="300" t="str">
        <f>CHAR(39)</f>
        <v>'</v>
      </c>
      <c r="O158" t="s">
        <v>718</v>
      </c>
      <c r="P158" s="300" t="str">
        <f>CHAR(39)</f>
        <v>'</v>
      </c>
      <c r="Q158" t="str">
        <f>TRIM(SUBSTITUTE(IF(C158=0,"",C158),"'","''"))</f>
        <v>Jeremy Smith</v>
      </c>
      <c r="R158" s="300" t="str">
        <f>CHAR(39)</f>
        <v>'</v>
      </c>
      <c r="S158" t="s">
        <v>719</v>
      </c>
      <c r="T158" s="300" t="str">
        <f>CHAR(39)</f>
        <v>'</v>
      </c>
      <c r="U158" t="str">
        <f>TRIM(SUBSTITUTE(A158,"'","''"))</f>
        <v>MISC</v>
      </c>
      <c r="V158" s="300" t="str">
        <f>CHAR(39)</f>
        <v>'</v>
      </c>
      <c r="W158" t="s">
        <v>720</v>
      </c>
      <c r="X158">
        <f>IF(ISNUMBER(B158),B158,CHAR(39)&amp;TRIM(B158)&amp;CHAR(39))</f>
        <v>5046</v>
      </c>
      <c r="Z158" t="str">
        <f>_xlfn.CONCAT(G158:X158)</f>
        <v>update [dbo].[Inventory] Set [Auditor]  = 'Nick Sceggell (S)',[Building]  = '415 Building',[Writer] = 'Jeremy Smith',[AreaDesc] = 'MISC' where [Area]=5046</v>
      </c>
      <c r="AB158" t="s">
        <v>883</v>
      </c>
    </row>
    <row r="159" spans="1:28">
      <c r="A159" t="s">
        <v>526</v>
      </c>
      <c r="B159">
        <v>5047</v>
      </c>
      <c r="C159" t="s">
        <v>527</v>
      </c>
      <c r="D159" t="s">
        <v>529</v>
      </c>
      <c r="E159" t="s">
        <v>832</v>
      </c>
      <c r="G159" t="s">
        <v>716</v>
      </c>
      <c r="H159" s="300" t="str">
        <f>CHAR(39)</f>
        <v>'</v>
      </c>
      <c r="I159" t="str">
        <f>TRIM(SUBSTITUTE(D159,"'","''"))</f>
        <v>Curtis Nelson (M)</v>
      </c>
      <c r="J159" s="300" t="str">
        <f>CHAR(39)</f>
        <v>'</v>
      </c>
      <c r="K159" t="s">
        <v>717</v>
      </c>
      <c r="L159" s="300" t="str">
        <f>CHAR(39)</f>
        <v>'</v>
      </c>
      <c r="M159" t="str">
        <f>TRIM(E159)</f>
        <v>415 Building</v>
      </c>
      <c r="N159" s="300" t="str">
        <f>CHAR(39)</f>
        <v>'</v>
      </c>
      <c r="O159" t="s">
        <v>718</v>
      </c>
      <c r="P159" s="300" t="str">
        <f>CHAR(39)</f>
        <v>'</v>
      </c>
      <c r="Q159" t="str">
        <f>TRIM(SUBSTITUTE(IF(C159=0,"",C159),"'","''"))</f>
        <v>Antwan Thompson (M)</v>
      </c>
      <c r="R159" s="300" t="str">
        <f>CHAR(39)</f>
        <v>'</v>
      </c>
      <c r="S159" t="s">
        <v>719</v>
      </c>
      <c r="T159" s="300" t="str">
        <f>CHAR(39)</f>
        <v>'</v>
      </c>
      <c r="U159" t="str">
        <f>TRIM(SUBSTITUTE(A159,"'","''"))</f>
        <v>LADDERS</v>
      </c>
      <c r="V159" s="300" t="str">
        <f>CHAR(39)</f>
        <v>'</v>
      </c>
      <c r="W159" t="s">
        <v>720</v>
      </c>
      <c r="X159">
        <f>IF(ISNUMBER(B159),B159,CHAR(39)&amp;TRIM(B159)&amp;CHAR(39))</f>
        <v>5047</v>
      </c>
      <c r="Z159" t="str">
        <f>_xlfn.CONCAT(G159:X159)</f>
        <v>update [dbo].[Inventory] Set [Auditor]  = 'Curtis Nelson (M)',[Building]  = '415 Building',[Writer] = 'Antwan Thompson (M)',[AreaDesc] = 'LADDERS' where [Area]=5047</v>
      </c>
      <c r="AB159" t="s">
        <v>884</v>
      </c>
    </row>
    <row r="160" spans="1:28">
      <c r="A160" t="s">
        <v>526</v>
      </c>
      <c r="B160">
        <v>5048</v>
      </c>
      <c r="C160" t="s">
        <v>530</v>
      </c>
      <c r="D160" t="s">
        <v>529</v>
      </c>
      <c r="E160" t="s">
        <v>832</v>
      </c>
      <c r="G160" t="s">
        <v>716</v>
      </c>
      <c r="H160" s="300" t="str">
        <f>CHAR(39)</f>
        <v>'</v>
      </c>
      <c r="I160" t="str">
        <f>TRIM(SUBSTITUTE(D160,"'","''"))</f>
        <v>Curtis Nelson (M)</v>
      </c>
      <c r="J160" s="300" t="str">
        <f>CHAR(39)</f>
        <v>'</v>
      </c>
      <c r="K160" t="s">
        <v>717</v>
      </c>
      <c r="L160" s="300" t="str">
        <f>CHAR(39)</f>
        <v>'</v>
      </c>
      <c r="M160" t="str">
        <f>TRIM(E160)</f>
        <v>415 Building</v>
      </c>
      <c r="N160" s="300" t="str">
        <f>CHAR(39)</f>
        <v>'</v>
      </c>
      <c r="O160" t="s">
        <v>718</v>
      </c>
      <c r="P160" s="300" t="str">
        <f>CHAR(39)</f>
        <v>'</v>
      </c>
      <c r="Q160" t="str">
        <f>TRIM(SUBSTITUTE(IF(C160=0,"",C160),"'","''"))</f>
        <v>Agustin Martinez</v>
      </c>
      <c r="R160" s="300" t="str">
        <f>CHAR(39)</f>
        <v>'</v>
      </c>
      <c r="S160" t="s">
        <v>719</v>
      </c>
      <c r="T160" s="300" t="str">
        <f>CHAR(39)</f>
        <v>'</v>
      </c>
      <c r="U160" t="str">
        <f>TRIM(SUBSTITUTE(A160,"'","''"))</f>
        <v>LADDERS</v>
      </c>
      <c r="V160" s="300" t="str">
        <f>CHAR(39)</f>
        <v>'</v>
      </c>
      <c r="W160" t="s">
        <v>720</v>
      </c>
      <c r="X160">
        <f>IF(ISNUMBER(B160),B160,CHAR(39)&amp;TRIM(B160)&amp;CHAR(39))</f>
        <v>5048</v>
      </c>
      <c r="Z160" t="str">
        <f>_xlfn.CONCAT(G160:X160)</f>
        <v>update [dbo].[Inventory] Set [Auditor]  = 'Curtis Nelson (M)',[Building]  = '415 Building',[Writer] = 'Agustin Martinez',[AreaDesc] = 'LADDERS' where [Area]=5048</v>
      </c>
      <c r="AB160" t="s">
        <v>885</v>
      </c>
    </row>
    <row r="161" spans="1:28">
      <c r="A161" t="s">
        <v>532</v>
      </c>
      <c r="B161">
        <v>5049</v>
      </c>
      <c r="C161" t="s">
        <v>533</v>
      </c>
      <c r="D161" t="s">
        <v>535</v>
      </c>
      <c r="E161" t="s">
        <v>832</v>
      </c>
      <c r="G161" t="s">
        <v>716</v>
      </c>
      <c r="H161" s="300" t="str">
        <f>CHAR(39)</f>
        <v>'</v>
      </c>
      <c r="I161" t="str">
        <f>TRIM(SUBSTITUTE(D161,"'","''"))</f>
        <v>Jeff Inman</v>
      </c>
      <c r="J161" s="300" t="str">
        <f>CHAR(39)</f>
        <v>'</v>
      </c>
      <c r="K161" t="s">
        <v>717</v>
      </c>
      <c r="L161" s="300" t="str">
        <f>CHAR(39)</f>
        <v>'</v>
      </c>
      <c r="M161" t="str">
        <f>TRIM(E161)</f>
        <v>415 Building</v>
      </c>
      <c r="N161" s="300" t="str">
        <f>CHAR(39)</f>
        <v>'</v>
      </c>
      <c r="O161" t="s">
        <v>718</v>
      </c>
      <c r="P161" s="300" t="str">
        <f>CHAR(39)</f>
        <v>'</v>
      </c>
      <c r="Q161" t="str">
        <f>TRIM(SUBSTITUTE(IF(C161=0,"",C161),"'","''"))</f>
        <v>Jesse May (S)</v>
      </c>
      <c r="R161" s="300" t="str">
        <f>CHAR(39)</f>
        <v>'</v>
      </c>
      <c r="S161" t="s">
        <v>719</v>
      </c>
      <c r="T161" s="300" t="str">
        <f>CHAR(39)</f>
        <v>'</v>
      </c>
      <c r="U161" t="str">
        <f>TRIM(SUBSTITUTE(A161,"'","''"))</f>
        <v>RAW CONSOLES</v>
      </c>
      <c r="V161" s="300" t="str">
        <f>CHAR(39)</f>
        <v>'</v>
      </c>
      <c r="W161" t="s">
        <v>720</v>
      </c>
      <c r="X161">
        <f>IF(ISNUMBER(B161),B161,CHAR(39)&amp;TRIM(B161)&amp;CHAR(39))</f>
        <v>5049</v>
      </c>
      <c r="Z161" t="str">
        <f>_xlfn.CONCAT(G161:X161)</f>
        <v>update [dbo].[Inventory] Set [Auditor]  = 'Jeff Inman',[Building]  = '415 Building',[Writer] = 'Jesse May (S)',[AreaDesc] = 'RAW CONSOLES' where [Area]=5049</v>
      </c>
      <c r="AB161" t="s">
        <v>886</v>
      </c>
    </row>
    <row r="162" spans="1:28">
      <c r="A162" t="s">
        <v>532</v>
      </c>
      <c r="B162">
        <v>5050</v>
      </c>
      <c r="C162" t="s">
        <v>533</v>
      </c>
      <c r="D162" t="s">
        <v>535</v>
      </c>
      <c r="E162" t="s">
        <v>832</v>
      </c>
      <c r="G162" t="s">
        <v>716</v>
      </c>
      <c r="H162" s="300" t="str">
        <f>CHAR(39)</f>
        <v>'</v>
      </c>
      <c r="I162" t="str">
        <f>TRIM(SUBSTITUTE(D162,"'","''"))</f>
        <v>Jeff Inman</v>
      </c>
      <c r="J162" s="300" t="str">
        <f>CHAR(39)</f>
        <v>'</v>
      </c>
      <c r="K162" t="s">
        <v>717</v>
      </c>
      <c r="L162" s="300" t="str">
        <f>CHAR(39)</f>
        <v>'</v>
      </c>
      <c r="M162" t="str">
        <f>TRIM(E162)</f>
        <v>415 Building</v>
      </c>
      <c r="N162" s="300" t="str">
        <f>CHAR(39)</f>
        <v>'</v>
      </c>
      <c r="O162" t="s">
        <v>718</v>
      </c>
      <c r="P162" s="300" t="str">
        <f>CHAR(39)</f>
        <v>'</v>
      </c>
      <c r="Q162" t="str">
        <f>TRIM(SUBSTITUTE(IF(C162=0,"",C162),"'","''"))</f>
        <v>Jesse May (S)</v>
      </c>
      <c r="R162" s="300" t="str">
        <f>CHAR(39)</f>
        <v>'</v>
      </c>
      <c r="S162" t="s">
        <v>719</v>
      </c>
      <c r="T162" s="300" t="str">
        <f>CHAR(39)</f>
        <v>'</v>
      </c>
      <c r="U162" t="str">
        <f>TRIM(SUBSTITUTE(A162,"'","''"))</f>
        <v>RAW CONSOLES</v>
      </c>
      <c r="V162" s="300" t="str">
        <f>CHAR(39)</f>
        <v>'</v>
      </c>
      <c r="W162" t="s">
        <v>720</v>
      </c>
      <c r="X162">
        <f>IF(ISNUMBER(B162),B162,CHAR(39)&amp;TRIM(B162)&amp;CHAR(39))</f>
        <v>5050</v>
      </c>
      <c r="Z162" t="str">
        <f>_xlfn.CONCAT(G162:X162)</f>
        <v>update [dbo].[Inventory] Set [Auditor]  = 'Jeff Inman',[Building]  = '415 Building',[Writer] = 'Jesse May (S)',[AreaDesc] = 'RAW CONSOLES' where [Area]=5050</v>
      </c>
      <c r="AB162" t="s">
        <v>887</v>
      </c>
    </row>
    <row r="163" spans="1:28">
      <c r="A163" t="s">
        <v>482</v>
      </c>
      <c r="B163">
        <v>5051</v>
      </c>
      <c r="C163" t="s">
        <v>504</v>
      </c>
      <c r="D163" t="s">
        <v>536</v>
      </c>
      <c r="E163" t="s">
        <v>832</v>
      </c>
      <c r="G163" t="s">
        <v>716</v>
      </c>
      <c r="H163" s="300" t="str">
        <f>CHAR(39)</f>
        <v>'</v>
      </c>
      <c r="I163" t="str">
        <f>TRIM(SUBSTITUTE(D163,"'","''"))</f>
        <v>Logan Fish</v>
      </c>
      <c r="J163" s="300" t="str">
        <f>CHAR(39)</f>
        <v>'</v>
      </c>
      <c r="K163" t="s">
        <v>717</v>
      </c>
      <c r="L163" s="300" t="str">
        <f>CHAR(39)</f>
        <v>'</v>
      </c>
      <c r="M163" t="str">
        <f>TRIM(E163)</f>
        <v>415 Building</v>
      </c>
      <c r="N163" s="300" t="str">
        <f>CHAR(39)</f>
        <v>'</v>
      </c>
      <c r="O163" t="s">
        <v>718</v>
      </c>
      <c r="P163" s="300" t="str">
        <f>CHAR(39)</f>
        <v>'</v>
      </c>
      <c r="Q163" t="str">
        <f>TRIM(SUBSTITUTE(IF(C163=0,"",C163),"'","''"))</f>
        <v>Anthony Tirado (S)</v>
      </c>
      <c r="R163" s="300" t="str">
        <f>CHAR(39)</f>
        <v>'</v>
      </c>
      <c r="S163" t="s">
        <v>719</v>
      </c>
      <c r="T163" s="300" t="str">
        <f>CHAR(39)</f>
        <v>'</v>
      </c>
      <c r="U163" t="str">
        <f>TRIM(SUBSTITUTE(A163,"'","''"))</f>
        <v>MISC</v>
      </c>
      <c r="V163" s="300" t="str">
        <f>CHAR(39)</f>
        <v>'</v>
      </c>
      <c r="W163" t="s">
        <v>720</v>
      </c>
      <c r="X163">
        <f>IF(ISNUMBER(B163),B163,CHAR(39)&amp;TRIM(B163)&amp;CHAR(39))</f>
        <v>5051</v>
      </c>
      <c r="Z163" t="str">
        <f>_xlfn.CONCAT(G163:X163)</f>
        <v>update [dbo].[Inventory] Set [Auditor]  = 'Logan Fish',[Building]  = '415 Building',[Writer] = 'Anthony Tirado (S)',[AreaDesc] = 'MISC' where [Area]=5051</v>
      </c>
      <c r="AB163" t="s">
        <v>888</v>
      </c>
    </row>
    <row r="164" spans="1:28">
      <c r="A164" t="s">
        <v>537</v>
      </c>
      <c r="B164">
        <v>5052</v>
      </c>
      <c r="C164" t="s">
        <v>538</v>
      </c>
      <c r="D164" t="s">
        <v>540</v>
      </c>
      <c r="E164" t="s">
        <v>832</v>
      </c>
      <c r="G164" t="s">
        <v>716</v>
      </c>
      <c r="H164" s="300" t="str">
        <f>CHAR(39)</f>
        <v>'</v>
      </c>
      <c r="I164" t="str">
        <f>TRIM(SUBSTITUTE(D164,"'","''"))</f>
        <v>Jake Scholfield</v>
      </c>
      <c r="J164" s="300" t="str">
        <f>CHAR(39)</f>
        <v>'</v>
      </c>
      <c r="K164" t="s">
        <v>717</v>
      </c>
      <c r="L164" s="300" t="str">
        <f>CHAR(39)</f>
        <v>'</v>
      </c>
      <c r="M164" t="str">
        <f>TRIM(E164)</f>
        <v>415 Building</v>
      </c>
      <c r="N164" s="300" t="str">
        <f>CHAR(39)</f>
        <v>'</v>
      </c>
      <c r="O164" t="s">
        <v>718</v>
      </c>
      <c r="P164" s="300" t="str">
        <f>CHAR(39)</f>
        <v>'</v>
      </c>
      <c r="Q164" t="str">
        <f>TRIM(SUBSTITUTE(IF(C164=0,"",C164),"'","''"))</f>
        <v>Jose Tirado Ochoa</v>
      </c>
      <c r="R164" s="300" t="str">
        <f>CHAR(39)</f>
        <v>'</v>
      </c>
      <c r="S164" t="s">
        <v>719</v>
      </c>
      <c r="T164" s="300" t="str">
        <f>CHAR(39)</f>
        <v>'</v>
      </c>
      <c r="U164" t="str">
        <f>TRIM(SUBSTITUTE(A164,"'","''"))</f>
        <v>SKI TOW/MISC.</v>
      </c>
      <c r="V164" s="300" t="str">
        <f>CHAR(39)</f>
        <v>'</v>
      </c>
      <c r="W164" t="s">
        <v>720</v>
      </c>
      <c r="X164">
        <f>IF(ISNUMBER(B164),B164,CHAR(39)&amp;TRIM(B164)&amp;CHAR(39))</f>
        <v>5052</v>
      </c>
      <c r="Z164" t="str">
        <f>_xlfn.CONCAT(G164:X164)</f>
        <v>update [dbo].[Inventory] Set [Auditor]  = 'Jake Scholfield',[Building]  = '415 Building',[Writer] = 'Jose Tirado Ochoa',[AreaDesc] = 'SKI TOW/MISC.' where [Area]=5052</v>
      </c>
      <c r="AB164" t="s">
        <v>889</v>
      </c>
    </row>
    <row r="165" spans="1:28">
      <c r="A165" t="s">
        <v>541</v>
      </c>
      <c r="B165">
        <v>5053</v>
      </c>
      <c r="C165" t="s">
        <v>538</v>
      </c>
      <c r="D165" t="s">
        <v>540</v>
      </c>
      <c r="E165" t="s">
        <v>832</v>
      </c>
      <c r="G165" t="s">
        <v>716</v>
      </c>
      <c r="H165" s="300" t="str">
        <f>CHAR(39)</f>
        <v>'</v>
      </c>
      <c r="I165" t="str">
        <f>TRIM(SUBSTITUTE(D165,"'","''"))</f>
        <v>Jake Scholfield</v>
      </c>
      <c r="J165" s="300" t="str">
        <f>CHAR(39)</f>
        <v>'</v>
      </c>
      <c r="K165" t="s">
        <v>717</v>
      </c>
      <c r="L165" s="300" t="str">
        <f>CHAR(39)</f>
        <v>'</v>
      </c>
      <c r="M165" t="str">
        <f>TRIM(E165)</f>
        <v>415 Building</v>
      </c>
      <c r="N165" s="300" t="str">
        <f>CHAR(39)</f>
        <v>'</v>
      </c>
      <c r="O165" t="s">
        <v>718</v>
      </c>
      <c r="P165" s="300" t="str">
        <f>CHAR(39)</f>
        <v>'</v>
      </c>
      <c r="Q165" t="str">
        <f>TRIM(SUBSTITUTE(IF(C165=0,"",C165),"'","''"))</f>
        <v>Jose Tirado Ochoa</v>
      </c>
      <c r="R165" s="300" t="str">
        <f>CHAR(39)</f>
        <v>'</v>
      </c>
      <c r="S165" t="s">
        <v>719</v>
      </c>
      <c r="T165" s="300" t="str">
        <f>CHAR(39)</f>
        <v>'</v>
      </c>
      <c r="U165" t="str">
        <f>TRIM(SUBSTITUTE(A165,"'","''"))</f>
        <v>DOCK/CARPET/WOOD/MISC</v>
      </c>
      <c r="V165" s="300" t="str">
        <f>CHAR(39)</f>
        <v>'</v>
      </c>
      <c r="W165" t="s">
        <v>720</v>
      </c>
      <c r="X165">
        <f>IF(ISNUMBER(B165),B165,CHAR(39)&amp;TRIM(B165)&amp;CHAR(39))</f>
        <v>5053</v>
      </c>
      <c r="Z165" t="str">
        <f>_xlfn.CONCAT(G165:X165)</f>
        <v>update [dbo].[Inventory] Set [Auditor]  = 'Jake Scholfield',[Building]  = '415 Building',[Writer] = 'Jose Tirado Ochoa',[AreaDesc] = 'DOCK/CARPET/WOOD/MISC' where [Area]=5053</v>
      </c>
      <c r="AB165" t="s">
        <v>890</v>
      </c>
    </row>
    <row r="166" spans="1:28">
      <c r="A166" t="s">
        <v>544</v>
      </c>
      <c r="B166">
        <v>5055</v>
      </c>
      <c r="C166" t="s">
        <v>545</v>
      </c>
      <c r="D166" t="s">
        <v>485</v>
      </c>
      <c r="E166" t="s">
        <v>832</v>
      </c>
      <c r="G166" t="s">
        <v>716</v>
      </c>
      <c r="H166" s="300" t="str">
        <f>CHAR(39)</f>
        <v>'</v>
      </c>
      <c r="I166" t="str">
        <f>TRIM(SUBSTITUTE(D166,"'","''"))</f>
        <v>Rich Wegner (M)</v>
      </c>
      <c r="J166" s="300" t="str">
        <f>CHAR(39)</f>
        <v>'</v>
      </c>
      <c r="K166" t="s">
        <v>717</v>
      </c>
      <c r="L166" s="300" t="str">
        <f>CHAR(39)</f>
        <v>'</v>
      </c>
      <c r="M166" t="str">
        <f>TRIM(E166)</f>
        <v>415 Building</v>
      </c>
      <c r="N166" s="300" t="str">
        <f>CHAR(39)</f>
        <v>'</v>
      </c>
      <c r="O166" t="s">
        <v>718</v>
      </c>
      <c r="P166" s="300" t="str">
        <f>CHAR(39)</f>
        <v>'</v>
      </c>
      <c r="Q166" t="str">
        <f>TRIM(SUBSTITUTE(IF(C166=0,"",C166),"'","''"))</f>
        <v>Dolores Edwards</v>
      </c>
      <c r="R166" s="300" t="str">
        <f>CHAR(39)</f>
        <v>'</v>
      </c>
      <c r="S166" t="s">
        <v>719</v>
      </c>
      <c r="T166" s="300" t="str">
        <f>CHAR(39)</f>
        <v>'</v>
      </c>
      <c r="U166" t="str">
        <f>TRIM(SUBSTITUTE(A166,"'","''"))</f>
        <v>CONSOLE KITTING</v>
      </c>
      <c r="V166" s="300" t="str">
        <f>CHAR(39)</f>
        <v>'</v>
      </c>
      <c r="W166" t="s">
        <v>720</v>
      </c>
      <c r="X166">
        <f>IF(ISNUMBER(B166),B166,CHAR(39)&amp;TRIM(B166)&amp;CHAR(39))</f>
        <v>5055</v>
      </c>
      <c r="Z166" t="str">
        <f>_xlfn.CONCAT(G166:X166)</f>
        <v>update [dbo].[Inventory] Set [Auditor]  = 'Rich Wegner (M)',[Building]  = '415 Building',[Writer] = 'Dolores Edwards',[AreaDesc] = 'CONSOLE KITTING' where [Area]=5055</v>
      </c>
      <c r="AB166" t="s">
        <v>891</v>
      </c>
    </row>
    <row r="167" spans="1:28">
      <c r="A167" t="s">
        <v>547</v>
      </c>
      <c r="B167">
        <v>5056</v>
      </c>
      <c r="C167" t="s">
        <v>548</v>
      </c>
      <c r="D167" t="s">
        <v>550</v>
      </c>
      <c r="E167" t="s">
        <v>832</v>
      </c>
      <c r="G167" t="s">
        <v>716</v>
      </c>
      <c r="H167" s="300" t="str">
        <f>CHAR(39)</f>
        <v>'</v>
      </c>
      <c r="I167" t="str">
        <f>TRIM(SUBSTITUTE(D167,"'","''"))</f>
        <v>Emily Mitchell</v>
      </c>
      <c r="J167" s="300" t="str">
        <f>CHAR(39)</f>
        <v>'</v>
      </c>
      <c r="K167" t="s">
        <v>717</v>
      </c>
      <c r="L167" s="300" t="str">
        <f>CHAR(39)</f>
        <v>'</v>
      </c>
      <c r="M167" t="str">
        <f>TRIM(E167)</f>
        <v>415 Building</v>
      </c>
      <c r="N167" s="300" t="str">
        <f>CHAR(39)</f>
        <v>'</v>
      </c>
      <c r="O167" t="s">
        <v>718</v>
      </c>
      <c r="P167" s="300" t="str">
        <f>CHAR(39)</f>
        <v>'</v>
      </c>
      <c r="Q167" t="str">
        <f>TRIM(SUBSTITUTE(IF(C167=0,"",C167),"'","''"))</f>
        <v>Mallory Lafayette</v>
      </c>
      <c r="R167" s="300" t="str">
        <f>CHAR(39)</f>
        <v>'</v>
      </c>
      <c r="S167" t="s">
        <v>719</v>
      </c>
      <c r="T167" s="300" t="str">
        <f>CHAR(39)</f>
        <v>'</v>
      </c>
      <c r="U167" t="str">
        <f>TRIM(SUBSTITUTE(A167,"'","''"))</f>
        <v>GAUGE PANELS</v>
      </c>
      <c r="V167" s="300" t="str">
        <f>CHAR(39)</f>
        <v>'</v>
      </c>
      <c r="W167" t="s">
        <v>720</v>
      </c>
      <c r="X167">
        <f>IF(ISNUMBER(B167),B167,CHAR(39)&amp;TRIM(B167)&amp;CHAR(39))</f>
        <v>5056</v>
      </c>
      <c r="Z167" t="str">
        <f>_xlfn.CONCAT(G167:X167)</f>
        <v>update [dbo].[Inventory] Set [Auditor]  = 'Emily Mitchell',[Building]  = '415 Building',[Writer] = 'Mallory Lafayette',[AreaDesc] = 'GAUGE PANELS' where [Area]=5056</v>
      </c>
      <c r="AB167" t="s">
        <v>892</v>
      </c>
    </row>
    <row r="168" spans="1:28">
      <c r="A168" t="s">
        <v>551</v>
      </c>
      <c r="B168">
        <v>5057</v>
      </c>
      <c r="C168" t="s">
        <v>548</v>
      </c>
      <c r="D168" t="s">
        <v>550</v>
      </c>
      <c r="E168" t="s">
        <v>832</v>
      </c>
      <c r="G168" t="s">
        <v>716</v>
      </c>
      <c r="H168" s="300" t="str">
        <f>CHAR(39)</f>
        <v>'</v>
      </c>
      <c r="I168" t="str">
        <f>TRIM(SUBSTITUTE(D168,"'","''"))</f>
        <v>Emily Mitchell</v>
      </c>
      <c r="J168" s="300" t="str">
        <f>CHAR(39)</f>
        <v>'</v>
      </c>
      <c r="K168" t="s">
        <v>717</v>
      </c>
      <c r="L168" s="300" t="str">
        <f>CHAR(39)</f>
        <v>'</v>
      </c>
      <c r="M168" t="str">
        <f>TRIM(E168)</f>
        <v>415 Building</v>
      </c>
      <c r="N168" s="300" t="str">
        <f>CHAR(39)</f>
        <v>'</v>
      </c>
      <c r="O168" t="s">
        <v>718</v>
      </c>
      <c r="P168" s="300" t="str">
        <f>CHAR(39)</f>
        <v>'</v>
      </c>
      <c r="Q168" t="str">
        <f>TRIM(SUBSTITUTE(IF(C168=0,"",C168),"'","''"))</f>
        <v>Mallory Lafayette</v>
      </c>
      <c r="R168" s="300" t="str">
        <f>CHAR(39)</f>
        <v>'</v>
      </c>
      <c r="S168" t="s">
        <v>719</v>
      </c>
      <c r="T168" s="300" t="str">
        <f>CHAR(39)</f>
        <v>'</v>
      </c>
      <c r="U168" t="str">
        <f>TRIM(SUBSTITUTE(A168,"'","''"))</f>
        <v>CONSOLE KITTING</v>
      </c>
      <c r="V168" s="300" t="str">
        <f>CHAR(39)</f>
        <v>'</v>
      </c>
      <c r="W168" t="s">
        <v>720</v>
      </c>
      <c r="X168">
        <f>IF(ISNUMBER(B168),B168,CHAR(39)&amp;TRIM(B168)&amp;CHAR(39))</f>
        <v>5057</v>
      </c>
      <c r="Z168" t="str">
        <f>_xlfn.CONCAT(G168:X168)</f>
        <v>update [dbo].[Inventory] Set [Auditor]  = 'Emily Mitchell',[Building]  = '415 Building',[Writer] = 'Mallory Lafayette',[AreaDesc] = 'CONSOLE KITTING' where [Area]=5057</v>
      </c>
      <c r="AB168" t="s">
        <v>893</v>
      </c>
    </row>
    <row r="169" spans="1:28">
      <c r="A169" t="s">
        <v>544</v>
      </c>
      <c r="B169">
        <v>5058</v>
      </c>
      <c r="C169" t="s">
        <v>545</v>
      </c>
      <c r="D169" t="s">
        <v>554</v>
      </c>
      <c r="E169" t="s">
        <v>832</v>
      </c>
      <c r="G169" t="s">
        <v>716</v>
      </c>
      <c r="H169" s="300" t="str">
        <f>CHAR(39)</f>
        <v>'</v>
      </c>
      <c r="I169" t="str">
        <f>TRIM(SUBSTITUTE(D169,"'","''"))</f>
        <v>Kelly Slone (M)</v>
      </c>
      <c r="J169" s="300" t="str">
        <f>CHAR(39)</f>
        <v>'</v>
      </c>
      <c r="K169" t="s">
        <v>717</v>
      </c>
      <c r="L169" s="300" t="str">
        <f>CHAR(39)</f>
        <v>'</v>
      </c>
      <c r="M169" t="str">
        <f>TRIM(E169)</f>
        <v>415 Building</v>
      </c>
      <c r="N169" s="300" t="str">
        <f>CHAR(39)</f>
        <v>'</v>
      </c>
      <c r="O169" t="s">
        <v>718</v>
      </c>
      <c r="P169" s="300" t="str">
        <f>CHAR(39)</f>
        <v>'</v>
      </c>
      <c r="Q169" t="str">
        <f>TRIM(SUBSTITUTE(IF(C169=0,"",C169),"'","''"))</f>
        <v>Dolores Edwards</v>
      </c>
      <c r="R169" s="300" t="str">
        <f>CHAR(39)</f>
        <v>'</v>
      </c>
      <c r="S169" t="s">
        <v>719</v>
      </c>
      <c r="T169" s="300" t="str">
        <f>CHAR(39)</f>
        <v>'</v>
      </c>
      <c r="U169" t="str">
        <f>TRIM(SUBSTITUTE(A169,"'","''"))</f>
        <v>CONSOLE KITTING</v>
      </c>
      <c r="V169" s="300" t="str">
        <f>CHAR(39)</f>
        <v>'</v>
      </c>
      <c r="W169" t="s">
        <v>720</v>
      </c>
      <c r="X169">
        <f>IF(ISNUMBER(B169),B169,CHAR(39)&amp;TRIM(B169)&amp;CHAR(39))</f>
        <v>5058</v>
      </c>
      <c r="Z169" t="str">
        <f>_xlfn.CONCAT(G169:X169)</f>
        <v>update [dbo].[Inventory] Set [Auditor]  = 'Kelly Slone (M)',[Building]  = '415 Building',[Writer] = 'Dolores Edwards',[AreaDesc] = 'CONSOLE KITTING' where [Area]=5058</v>
      </c>
      <c r="AB169" t="s">
        <v>894</v>
      </c>
    </row>
    <row r="170" spans="1:28">
      <c r="A170" t="s">
        <v>544</v>
      </c>
      <c r="B170">
        <v>5059</v>
      </c>
      <c r="C170" t="s">
        <v>555</v>
      </c>
      <c r="D170" t="s">
        <v>498</v>
      </c>
      <c r="E170" t="s">
        <v>832</v>
      </c>
      <c r="G170" t="s">
        <v>716</v>
      </c>
      <c r="H170" s="300" t="str">
        <f>CHAR(39)</f>
        <v>'</v>
      </c>
      <c r="I170" t="str">
        <f>TRIM(SUBSTITUTE(D170,"'","''"))</f>
        <v>Anthony Simeri (S)</v>
      </c>
      <c r="J170" s="300" t="str">
        <f>CHAR(39)</f>
        <v>'</v>
      </c>
      <c r="K170" t="s">
        <v>717</v>
      </c>
      <c r="L170" s="300" t="str">
        <f>CHAR(39)</f>
        <v>'</v>
      </c>
      <c r="M170" t="str">
        <f>TRIM(E170)</f>
        <v>415 Building</v>
      </c>
      <c r="N170" s="300" t="str">
        <f>CHAR(39)</f>
        <v>'</v>
      </c>
      <c r="O170" t="s">
        <v>718</v>
      </c>
      <c r="P170" s="300" t="str">
        <f>CHAR(39)</f>
        <v>'</v>
      </c>
      <c r="Q170" t="str">
        <f>TRIM(SUBSTITUTE(IF(C170=0,"",C170),"'","''"))</f>
        <v>Orianna Zambrano</v>
      </c>
      <c r="R170" s="300" t="str">
        <f>CHAR(39)</f>
        <v>'</v>
      </c>
      <c r="S170" t="s">
        <v>719</v>
      </c>
      <c r="T170" s="300" t="str">
        <f>CHAR(39)</f>
        <v>'</v>
      </c>
      <c r="U170" t="str">
        <f>TRIM(SUBSTITUTE(A170,"'","''"))</f>
        <v>CONSOLE KITTING</v>
      </c>
      <c r="V170" s="300" t="str">
        <f>CHAR(39)</f>
        <v>'</v>
      </c>
      <c r="W170" t="s">
        <v>720</v>
      </c>
      <c r="X170">
        <f>IF(ISNUMBER(B170),B170,CHAR(39)&amp;TRIM(B170)&amp;CHAR(39))</f>
        <v>5059</v>
      </c>
      <c r="Z170" t="str">
        <f>_xlfn.CONCAT(G170:X170)</f>
        <v>update [dbo].[Inventory] Set [Auditor]  = 'Anthony Simeri (S)',[Building]  = '415 Building',[Writer] = 'Orianna Zambrano',[AreaDesc] = 'CONSOLE KITTING' where [Area]=5059</v>
      </c>
      <c r="AB170" t="s">
        <v>895</v>
      </c>
    </row>
    <row r="171" spans="1:28">
      <c r="A171" t="s">
        <v>544</v>
      </c>
      <c r="B171">
        <v>5060</v>
      </c>
      <c r="C171" t="s">
        <v>557</v>
      </c>
      <c r="D171" t="s">
        <v>554</v>
      </c>
      <c r="E171" t="s">
        <v>832</v>
      </c>
      <c r="G171" t="s">
        <v>716</v>
      </c>
      <c r="H171" s="300" t="str">
        <f>CHAR(39)</f>
        <v>'</v>
      </c>
      <c r="I171" t="str">
        <f>TRIM(SUBSTITUTE(D171,"'","''"))</f>
        <v>Kelly Slone (M)</v>
      </c>
      <c r="J171" s="300" t="str">
        <f>CHAR(39)</f>
        <v>'</v>
      </c>
      <c r="K171" t="s">
        <v>717</v>
      </c>
      <c r="L171" s="300" t="str">
        <f>CHAR(39)</f>
        <v>'</v>
      </c>
      <c r="M171" t="str">
        <f>TRIM(E171)</f>
        <v>415 Building</v>
      </c>
      <c r="N171" s="300" t="str">
        <f>CHAR(39)</f>
        <v>'</v>
      </c>
      <c r="O171" t="s">
        <v>718</v>
      </c>
      <c r="P171" s="300" t="str">
        <f>CHAR(39)</f>
        <v>'</v>
      </c>
      <c r="Q171" t="str">
        <f>TRIM(SUBSTITUTE(IF(C171=0,"",C171),"'","''"))</f>
        <v>Tabitha Good</v>
      </c>
      <c r="R171" s="300" t="str">
        <f>CHAR(39)</f>
        <v>'</v>
      </c>
      <c r="S171" t="s">
        <v>719</v>
      </c>
      <c r="T171" s="300" t="str">
        <f>CHAR(39)</f>
        <v>'</v>
      </c>
      <c r="U171" t="str">
        <f>TRIM(SUBSTITUTE(A171,"'","''"))</f>
        <v>CONSOLE KITTING</v>
      </c>
      <c r="V171" s="300" t="str">
        <f>CHAR(39)</f>
        <v>'</v>
      </c>
      <c r="W171" t="s">
        <v>720</v>
      </c>
      <c r="X171">
        <f>IF(ISNUMBER(B171),B171,CHAR(39)&amp;TRIM(B171)&amp;CHAR(39))</f>
        <v>5060</v>
      </c>
      <c r="Z171" t="str">
        <f>_xlfn.CONCAT(G171:X171)</f>
        <v>update [dbo].[Inventory] Set [Auditor]  = 'Kelly Slone (M)',[Building]  = '415 Building',[Writer] = 'Tabitha Good',[AreaDesc] = 'CONSOLE KITTING' where [Area]=5060</v>
      </c>
      <c r="AB171" t="s">
        <v>896</v>
      </c>
    </row>
    <row r="172" spans="1:28">
      <c r="A172" t="s">
        <v>558</v>
      </c>
      <c r="B172">
        <v>5061</v>
      </c>
      <c r="C172" t="s">
        <v>252</v>
      </c>
      <c r="D172" t="s">
        <v>559</v>
      </c>
      <c r="E172" t="s">
        <v>832</v>
      </c>
      <c r="G172" t="s">
        <v>716</v>
      </c>
      <c r="H172" s="300" t="str">
        <f>CHAR(39)</f>
        <v>'</v>
      </c>
      <c r="I172" t="str">
        <f>TRIM(SUBSTITUTE(D172,"'","''"))</f>
        <v>Jim Brown</v>
      </c>
      <c r="J172" s="300" t="str">
        <f>CHAR(39)</f>
        <v>'</v>
      </c>
      <c r="K172" t="s">
        <v>717</v>
      </c>
      <c r="L172" s="300" t="str">
        <f>CHAR(39)</f>
        <v>'</v>
      </c>
      <c r="M172" t="str">
        <f>TRIM(E172)</f>
        <v>415 Building</v>
      </c>
      <c r="N172" s="300" t="str">
        <f>CHAR(39)</f>
        <v>'</v>
      </c>
      <c r="O172" t="s">
        <v>718</v>
      </c>
      <c r="P172" s="300" t="str">
        <f>CHAR(39)</f>
        <v>'</v>
      </c>
      <c r="Q172" t="str">
        <f>TRIM(SUBSTITUTE(IF(C172=0,"",C172),"'","''"))</f>
        <v>Bambi Holliday</v>
      </c>
      <c r="R172" s="300" t="str">
        <f>CHAR(39)</f>
        <v>'</v>
      </c>
      <c r="S172" t="s">
        <v>719</v>
      </c>
      <c r="T172" s="300" t="str">
        <f>CHAR(39)</f>
        <v>'</v>
      </c>
      <c r="U172" t="str">
        <f>TRIM(SUBSTITUTE(A172,"'","''"))</f>
        <v>FINAL KITS</v>
      </c>
      <c r="V172" s="300" t="str">
        <f>CHAR(39)</f>
        <v>'</v>
      </c>
      <c r="W172" t="s">
        <v>720</v>
      </c>
      <c r="X172">
        <f>IF(ISNUMBER(B172),B172,CHAR(39)&amp;TRIM(B172)&amp;CHAR(39))</f>
        <v>5061</v>
      </c>
      <c r="Z172" t="str">
        <f>_xlfn.CONCAT(G172:X172)</f>
        <v>update [dbo].[Inventory] Set [Auditor]  = 'Jim Brown',[Building]  = '415 Building',[Writer] = 'Bambi Holliday',[AreaDesc] = 'FINAL KITS' where [Area]=5061</v>
      </c>
      <c r="AB172" t="s">
        <v>897</v>
      </c>
    </row>
    <row r="173" spans="1:28">
      <c r="A173" t="s">
        <v>560</v>
      </c>
      <c r="B173">
        <v>5062</v>
      </c>
      <c r="C173" t="s">
        <v>561</v>
      </c>
      <c r="D173" t="s">
        <v>559</v>
      </c>
      <c r="E173" t="s">
        <v>832</v>
      </c>
      <c r="G173" t="s">
        <v>716</v>
      </c>
      <c r="H173" s="300" t="str">
        <f>CHAR(39)</f>
        <v>'</v>
      </c>
      <c r="I173" t="str">
        <f>TRIM(SUBSTITUTE(D173,"'","''"))</f>
        <v>Jim Brown</v>
      </c>
      <c r="J173" s="300" t="str">
        <f>CHAR(39)</f>
        <v>'</v>
      </c>
      <c r="K173" t="s">
        <v>717</v>
      </c>
      <c r="L173" s="300" t="str">
        <f>CHAR(39)</f>
        <v>'</v>
      </c>
      <c r="M173" t="str">
        <f>TRIM(E173)</f>
        <v>415 Building</v>
      </c>
      <c r="N173" s="300" t="str">
        <f>CHAR(39)</f>
        <v>'</v>
      </c>
      <c r="O173" t="s">
        <v>718</v>
      </c>
      <c r="P173" s="300" t="str">
        <f>CHAR(39)</f>
        <v>'</v>
      </c>
      <c r="Q173" t="str">
        <f>TRIM(SUBSTITUTE(IF(C173=0,"",C173),"'","''"))</f>
        <v>Michelle Anzalduw</v>
      </c>
      <c r="R173" s="300" t="str">
        <f>CHAR(39)</f>
        <v>'</v>
      </c>
      <c r="S173" t="s">
        <v>719</v>
      </c>
      <c r="T173" s="300" t="str">
        <f>CHAR(39)</f>
        <v>'</v>
      </c>
      <c r="U173" t="str">
        <f>TRIM(SUBSTITUTE(A173,"'","''"))</f>
        <v>RED KITS</v>
      </c>
      <c r="V173" s="300" t="str">
        <f>CHAR(39)</f>
        <v>'</v>
      </c>
      <c r="W173" t="s">
        <v>720</v>
      </c>
      <c r="X173">
        <f>IF(ISNUMBER(B173),B173,CHAR(39)&amp;TRIM(B173)&amp;CHAR(39))</f>
        <v>5062</v>
      </c>
      <c r="Z173" t="str">
        <f>_xlfn.CONCAT(G173:X173)</f>
        <v>update [dbo].[Inventory] Set [Auditor]  = 'Jim Brown',[Building]  = '415 Building',[Writer] = 'Michelle Anzalduw',[AreaDesc] = 'RED KITS' where [Area]=5062</v>
      </c>
      <c r="AB173" t="s">
        <v>898</v>
      </c>
    </row>
    <row r="174" spans="1:28">
      <c r="A174" t="s">
        <v>563</v>
      </c>
      <c r="B174">
        <v>5063</v>
      </c>
      <c r="C174" t="s">
        <v>564</v>
      </c>
      <c r="D174" t="s">
        <v>566</v>
      </c>
      <c r="E174" t="s">
        <v>832</v>
      </c>
      <c r="G174" t="s">
        <v>716</v>
      </c>
      <c r="H174" s="300" t="str">
        <f>CHAR(39)</f>
        <v>'</v>
      </c>
      <c r="I174" t="str">
        <f>TRIM(SUBSTITUTE(D174,"'","''"))</f>
        <v>Eleesha Miller</v>
      </c>
      <c r="J174" s="300" t="str">
        <f>CHAR(39)</f>
        <v>'</v>
      </c>
      <c r="K174" t="s">
        <v>717</v>
      </c>
      <c r="L174" s="300" t="str">
        <f>CHAR(39)</f>
        <v>'</v>
      </c>
      <c r="M174" t="str">
        <f>TRIM(E174)</f>
        <v>415 Building</v>
      </c>
      <c r="N174" s="300" t="str">
        <f>CHAR(39)</f>
        <v>'</v>
      </c>
      <c r="O174" t="s">
        <v>718</v>
      </c>
      <c r="P174" s="300" t="str">
        <f>CHAR(39)</f>
        <v>'</v>
      </c>
      <c r="Q174" t="str">
        <f>TRIM(SUBSTITUTE(IF(C174=0,"",C174),"'","''"))</f>
        <v>Russel Milanese</v>
      </c>
      <c r="R174" s="300" t="str">
        <f>CHAR(39)</f>
        <v>'</v>
      </c>
      <c r="S174" t="s">
        <v>719</v>
      </c>
      <c r="T174" s="300" t="str">
        <f>CHAR(39)</f>
        <v>'</v>
      </c>
      <c r="U174" t="str">
        <f>TRIM(SUBSTITUTE(A174,"'","''"))</f>
        <v>SKI TOW &amp; LIGHTS</v>
      </c>
      <c r="V174" s="300" t="str">
        <f>CHAR(39)</f>
        <v>'</v>
      </c>
      <c r="W174" t="s">
        <v>720</v>
      </c>
      <c r="X174">
        <f>IF(ISNUMBER(B174),B174,CHAR(39)&amp;TRIM(B174)&amp;CHAR(39))</f>
        <v>5063</v>
      </c>
      <c r="Z174" t="str">
        <f>_xlfn.CONCAT(G174:X174)</f>
        <v>update [dbo].[Inventory] Set [Auditor]  = 'Eleesha Miller',[Building]  = '415 Building',[Writer] = 'Russel Milanese',[AreaDesc] = 'SKI TOW &amp; LIGHTS' where [Area]=5063</v>
      </c>
      <c r="AB174" t="s">
        <v>899</v>
      </c>
    </row>
    <row r="175" spans="1:28">
      <c r="A175" t="s">
        <v>567</v>
      </c>
      <c r="B175">
        <v>5064</v>
      </c>
      <c r="C175" t="s">
        <v>564</v>
      </c>
      <c r="D175" t="s">
        <v>566</v>
      </c>
      <c r="E175" t="s">
        <v>832</v>
      </c>
      <c r="G175" t="s">
        <v>716</v>
      </c>
      <c r="H175" s="300" t="str">
        <f>CHAR(39)</f>
        <v>'</v>
      </c>
      <c r="I175" t="str">
        <f>TRIM(SUBSTITUTE(D175,"'","''"))</f>
        <v>Eleesha Miller</v>
      </c>
      <c r="J175" s="300" t="str">
        <f>CHAR(39)</f>
        <v>'</v>
      </c>
      <c r="K175" t="s">
        <v>717</v>
      </c>
      <c r="L175" s="300" t="str">
        <f>CHAR(39)</f>
        <v>'</v>
      </c>
      <c r="M175" t="str">
        <f>TRIM(E175)</f>
        <v>415 Building</v>
      </c>
      <c r="N175" s="300" t="str">
        <f>CHAR(39)</f>
        <v>'</v>
      </c>
      <c r="O175" t="s">
        <v>718</v>
      </c>
      <c r="P175" s="300" t="str">
        <f>CHAR(39)</f>
        <v>'</v>
      </c>
      <c r="Q175" t="str">
        <f>TRIM(SUBSTITUTE(IF(C175=0,"",C175),"'","''"))</f>
        <v>Russel Milanese</v>
      </c>
      <c r="R175" s="300" t="str">
        <f>CHAR(39)</f>
        <v>'</v>
      </c>
      <c r="S175" t="s">
        <v>719</v>
      </c>
      <c r="T175" s="300" t="str">
        <f>CHAR(39)</f>
        <v>'</v>
      </c>
      <c r="U175" t="str">
        <f>TRIM(SUBSTITUTE(A175,"'","''"))</f>
        <v>SUB ASSEMBLY</v>
      </c>
      <c r="V175" s="300" t="str">
        <f>CHAR(39)</f>
        <v>'</v>
      </c>
      <c r="W175" t="s">
        <v>720</v>
      </c>
      <c r="X175">
        <f>IF(ISNUMBER(B175),B175,CHAR(39)&amp;TRIM(B175)&amp;CHAR(39))</f>
        <v>5064</v>
      </c>
      <c r="Z175" t="str">
        <f>_xlfn.CONCAT(G175:X175)</f>
        <v>update [dbo].[Inventory] Set [Auditor]  = 'Eleesha Miller',[Building]  = '415 Building',[Writer] = 'Russel Milanese',[AreaDesc] = 'SUB ASSEMBLY' where [Area]=5064</v>
      </c>
      <c r="AB175" t="s">
        <v>900</v>
      </c>
    </row>
    <row r="176" spans="1:28">
      <c r="A176" t="s">
        <v>568</v>
      </c>
      <c r="B176">
        <v>5065</v>
      </c>
      <c r="C176" t="s">
        <v>564</v>
      </c>
      <c r="D176" t="s">
        <v>569</v>
      </c>
      <c r="E176" t="s">
        <v>832</v>
      </c>
      <c r="G176" t="s">
        <v>716</v>
      </c>
      <c r="H176" s="300" t="str">
        <f>CHAR(39)</f>
        <v>'</v>
      </c>
      <c r="I176" t="str">
        <f>TRIM(SUBSTITUTE(D176,"'","''"))</f>
        <v>Eleesha Miller</v>
      </c>
      <c r="J176" s="300" t="str">
        <f>CHAR(39)</f>
        <v>'</v>
      </c>
      <c r="K176" t="s">
        <v>717</v>
      </c>
      <c r="L176" s="300" t="str">
        <f>CHAR(39)</f>
        <v>'</v>
      </c>
      <c r="M176" t="str">
        <f>TRIM(E176)</f>
        <v>415 Building</v>
      </c>
      <c r="N176" s="300" t="str">
        <f>CHAR(39)</f>
        <v>'</v>
      </c>
      <c r="O176" t="s">
        <v>718</v>
      </c>
      <c r="P176" s="300" t="str">
        <f>CHAR(39)</f>
        <v>'</v>
      </c>
      <c r="Q176" t="str">
        <f>TRIM(SUBSTITUTE(IF(C176=0,"",C176),"'","''"))</f>
        <v>Russel Milanese</v>
      </c>
      <c r="R176" s="300" t="str">
        <f>CHAR(39)</f>
        <v>'</v>
      </c>
      <c r="S176" t="s">
        <v>719</v>
      </c>
      <c r="T176" s="300" t="str">
        <f>CHAR(39)</f>
        <v>'</v>
      </c>
      <c r="U176" t="str">
        <f>TRIM(SUBSTITUTE(A176,"'","''"))</f>
        <v>GREEN KITS</v>
      </c>
      <c r="V176" s="300" t="str">
        <f>CHAR(39)</f>
        <v>'</v>
      </c>
      <c r="W176" t="s">
        <v>720</v>
      </c>
      <c r="X176">
        <f>IF(ISNUMBER(B176),B176,CHAR(39)&amp;TRIM(B176)&amp;CHAR(39))</f>
        <v>5065</v>
      </c>
      <c r="Z176" t="str">
        <f>_xlfn.CONCAT(G176:X176)</f>
        <v>update [dbo].[Inventory] Set [Auditor]  = 'Eleesha Miller',[Building]  = '415 Building',[Writer] = 'Russel Milanese',[AreaDesc] = 'GREEN KITS' where [Area]=5065</v>
      </c>
      <c r="AB176" t="s">
        <v>901</v>
      </c>
    </row>
    <row r="177" spans="1:28">
      <c r="A177" t="s">
        <v>507</v>
      </c>
      <c r="B177">
        <v>5066</v>
      </c>
      <c r="C177" t="s">
        <v>570</v>
      </c>
      <c r="D177" t="s">
        <v>572</v>
      </c>
      <c r="E177" t="s">
        <v>832</v>
      </c>
      <c r="G177" t="s">
        <v>716</v>
      </c>
      <c r="H177" s="300" t="str">
        <f>CHAR(39)</f>
        <v>'</v>
      </c>
      <c r="I177" t="str">
        <f>TRIM(SUBSTITUTE(D177,"'","''"))</f>
        <v>Ray Gonet</v>
      </c>
      <c r="J177" s="300" t="str">
        <f>CHAR(39)</f>
        <v>'</v>
      </c>
      <c r="K177" t="s">
        <v>717</v>
      </c>
      <c r="L177" s="300" t="str">
        <f>CHAR(39)</f>
        <v>'</v>
      </c>
      <c r="M177" t="str">
        <f>TRIM(E177)</f>
        <v>415 Building</v>
      </c>
      <c r="N177" s="300" t="str">
        <f>CHAR(39)</f>
        <v>'</v>
      </c>
      <c r="O177" t="s">
        <v>718</v>
      </c>
      <c r="P177" s="300" t="str">
        <f>CHAR(39)</f>
        <v>'</v>
      </c>
      <c r="Q177" t="str">
        <f>TRIM(SUBSTITUTE(IF(C177=0,"",C177),"'","''"))</f>
        <v>Felix Maldonado</v>
      </c>
      <c r="R177" s="300" t="str">
        <f>CHAR(39)</f>
        <v>'</v>
      </c>
      <c r="S177" t="s">
        <v>719</v>
      </c>
      <c r="T177" s="300" t="str">
        <f>CHAR(39)</f>
        <v>'</v>
      </c>
      <c r="U177" t="str">
        <f>TRIM(SUBSTITUTE(A177,"'","''"))</f>
        <v>METAL FAB</v>
      </c>
      <c r="V177" s="300" t="str">
        <f>CHAR(39)</f>
        <v>'</v>
      </c>
      <c r="W177" t="s">
        <v>720</v>
      </c>
      <c r="X177">
        <f>IF(ISNUMBER(B177),B177,CHAR(39)&amp;TRIM(B177)&amp;CHAR(39))</f>
        <v>5066</v>
      </c>
      <c r="Z177" t="str">
        <f>_xlfn.CONCAT(G177:X177)</f>
        <v>update [dbo].[Inventory] Set [Auditor]  = 'Ray Gonet',[Building]  = '415 Building',[Writer] = 'Felix Maldonado',[AreaDesc] = 'METAL FAB' where [Area]=5066</v>
      </c>
      <c r="AB177" t="s">
        <v>902</v>
      </c>
    </row>
    <row r="178" spans="1:28">
      <c r="A178" t="s">
        <v>578</v>
      </c>
      <c r="B178">
        <v>6001</v>
      </c>
      <c r="C178" t="s">
        <v>579</v>
      </c>
      <c r="D178" t="s">
        <v>580</v>
      </c>
      <c r="E178" t="s">
        <v>832</v>
      </c>
      <c r="G178" t="s">
        <v>716</v>
      </c>
      <c r="H178" s="300" t="str">
        <f>CHAR(39)</f>
        <v>'</v>
      </c>
      <c r="I178" t="str">
        <f>TRIM(SUBSTITUTE(D178,"'","''"))</f>
        <v>Heather Kantz</v>
      </c>
      <c r="J178" s="300" t="str">
        <f>CHAR(39)</f>
        <v>'</v>
      </c>
      <c r="K178" t="s">
        <v>717</v>
      </c>
      <c r="L178" s="300" t="str">
        <f>CHAR(39)</f>
        <v>'</v>
      </c>
      <c r="M178" t="str">
        <f>TRIM(E178)</f>
        <v>415 Building</v>
      </c>
      <c r="N178" s="300" t="str">
        <f>CHAR(39)</f>
        <v>'</v>
      </c>
      <c r="O178" t="s">
        <v>718</v>
      </c>
      <c r="P178" s="300" t="str">
        <f>CHAR(39)</f>
        <v>'</v>
      </c>
      <c r="Q178" t="str">
        <f>TRIM(SUBSTITUTE(IF(C178=0,"",C178),"'","''"))</f>
        <v>Chris VanDeventer</v>
      </c>
      <c r="R178" s="300" t="str">
        <f>CHAR(39)</f>
        <v>'</v>
      </c>
      <c r="S178" t="s">
        <v>719</v>
      </c>
      <c r="T178" s="300" t="str">
        <f>CHAR(39)</f>
        <v>'</v>
      </c>
      <c r="U178" t="str">
        <f>TRIM(SUBSTITUTE(A178,"'","''"))</f>
        <v>RAW CONSOLES / COE OFFSITE</v>
      </c>
      <c r="V178" s="300" t="str">
        <f>CHAR(39)</f>
        <v>'</v>
      </c>
      <c r="W178" t="s">
        <v>720</v>
      </c>
      <c r="X178">
        <f>IF(ISNUMBER(B178),B178,CHAR(39)&amp;TRIM(B178)&amp;CHAR(39))</f>
        <v>6001</v>
      </c>
      <c r="Z178" t="str">
        <f>_xlfn.CONCAT(G178:X178)</f>
        <v>update [dbo].[Inventory] Set [Auditor]  = 'Heather Kantz',[Building]  = '415 Building',[Writer] = 'Chris VanDeventer',[AreaDesc] = 'RAW CONSOLES / COE OFFSITE' where [Area]=6001</v>
      </c>
      <c r="AB178" t="s">
        <v>903</v>
      </c>
    </row>
    <row r="179" spans="1:28">
      <c r="A179" t="s">
        <v>582</v>
      </c>
      <c r="B179">
        <v>7001</v>
      </c>
      <c r="C179" t="s">
        <v>583</v>
      </c>
      <c r="D179" t="s">
        <v>585</v>
      </c>
      <c r="E179" t="s">
        <v>904</v>
      </c>
      <c r="G179" t="s">
        <v>716</v>
      </c>
      <c r="H179" s="300" t="str">
        <f>CHAR(39)</f>
        <v>'</v>
      </c>
      <c r="I179" t="str">
        <f>TRIM(SUBSTITUTE(D179,"'","''"))</f>
        <v>Devin Wallace</v>
      </c>
      <c r="J179" s="300" t="str">
        <f>CHAR(39)</f>
        <v>'</v>
      </c>
      <c r="K179" t="s">
        <v>717</v>
      </c>
      <c r="L179" s="300" t="str">
        <f>CHAR(39)</f>
        <v>'</v>
      </c>
      <c r="M179" t="str">
        <f>TRIM(E179)</f>
        <v>Aftermarket (415)</v>
      </c>
      <c r="N179" s="300" t="str">
        <f>CHAR(39)</f>
        <v>'</v>
      </c>
      <c r="O179" t="s">
        <v>718</v>
      </c>
      <c r="P179" s="300" t="str">
        <f>CHAR(39)</f>
        <v>'</v>
      </c>
      <c r="Q179" t="str">
        <f>TRIM(SUBSTITUTE(IF(C179=0,"",C179),"'","''"))</f>
        <v>Vanessa Rodriguez Timaure</v>
      </c>
      <c r="R179" s="300" t="str">
        <f>CHAR(39)</f>
        <v>'</v>
      </c>
      <c r="S179" t="s">
        <v>719</v>
      </c>
      <c r="T179" s="300" t="str">
        <f>CHAR(39)</f>
        <v>'</v>
      </c>
      <c r="U179" t="str">
        <f>TRIM(SUBSTITUTE(A179,"'","''"))</f>
        <v>AFTERMARKET PARTS</v>
      </c>
      <c r="V179" s="300" t="str">
        <f>CHAR(39)</f>
        <v>'</v>
      </c>
      <c r="W179" t="s">
        <v>720</v>
      </c>
      <c r="X179">
        <f>IF(ISNUMBER(B179),B179,CHAR(39)&amp;TRIM(B179)&amp;CHAR(39))</f>
        <v>7001</v>
      </c>
      <c r="Z179" t="str">
        <f>_xlfn.CONCAT(G179:X179)</f>
        <v>update [dbo].[Inventory] Set [Auditor]  = 'Devin Wallace',[Building]  = 'Aftermarket (415)',[Writer] = 'Vanessa Rodriguez Timaure',[AreaDesc] = 'AFTERMARKET PARTS' where [Area]=7001</v>
      </c>
      <c r="AB179" t="s">
        <v>905</v>
      </c>
    </row>
    <row r="180" spans="1:28">
      <c r="A180" t="s">
        <v>582</v>
      </c>
      <c r="B180">
        <v>7002</v>
      </c>
      <c r="C180" t="s">
        <v>586</v>
      </c>
      <c r="D180" t="s">
        <v>585</v>
      </c>
      <c r="E180" t="s">
        <v>904</v>
      </c>
      <c r="G180" t="s">
        <v>716</v>
      </c>
      <c r="H180" s="300" t="str">
        <f>CHAR(39)</f>
        <v>'</v>
      </c>
      <c r="I180" t="str">
        <f>TRIM(SUBSTITUTE(D180,"'","''"))</f>
        <v>Devin Wallace</v>
      </c>
      <c r="J180" s="300" t="str">
        <f>CHAR(39)</f>
        <v>'</v>
      </c>
      <c r="K180" t="s">
        <v>717</v>
      </c>
      <c r="L180" s="300" t="str">
        <f>CHAR(39)</f>
        <v>'</v>
      </c>
      <c r="M180" t="str">
        <f>TRIM(E180)</f>
        <v>Aftermarket (415)</v>
      </c>
      <c r="N180" s="300" t="str">
        <f>CHAR(39)</f>
        <v>'</v>
      </c>
      <c r="O180" t="s">
        <v>718</v>
      </c>
      <c r="P180" s="300" t="str">
        <f>CHAR(39)</f>
        <v>'</v>
      </c>
      <c r="Q180" t="str">
        <f>TRIM(SUBSTITUTE(IF(C180=0,"",C180),"'","''"))</f>
        <v>Tim Byers</v>
      </c>
      <c r="R180" s="300" t="str">
        <f>CHAR(39)</f>
        <v>'</v>
      </c>
      <c r="S180" t="s">
        <v>719</v>
      </c>
      <c r="T180" s="300" t="str">
        <f>CHAR(39)</f>
        <v>'</v>
      </c>
      <c r="U180" t="str">
        <f>TRIM(SUBSTITUTE(A180,"'","''"))</f>
        <v>AFTERMARKET PARTS</v>
      </c>
      <c r="V180" s="300" t="str">
        <f>CHAR(39)</f>
        <v>'</v>
      </c>
      <c r="W180" t="s">
        <v>720</v>
      </c>
      <c r="X180">
        <f>IF(ISNUMBER(B180),B180,CHAR(39)&amp;TRIM(B180)&amp;CHAR(39))</f>
        <v>7002</v>
      </c>
      <c r="Z180" t="str">
        <f>_xlfn.CONCAT(G180:X180)</f>
        <v>update [dbo].[Inventory] Set [Auditor]  = 'Devin Wallace',[Building]  = 'Aftermarket (415)',[Writer] = 'Tim Byers',[AreaDesc] = 'AFTERMARKET PARTS' where [Area]=7002</v>
      </c>
      <c r="AB180" t="s">
        <v>906</v>
      </c>
    </row>
    <row r="181" spans="1:28">
      <c r="A181" t="s">
        <v>582</v>
      </c>
      <c r="B181">
        <v>7003</v>
      </c>
      <c r="C181" t="s">
        <v>588</v>
      </c>
      <c r="D181" t="s">
        <v>590</v>
      </c>
      <c r="E181" t="s">
        <v>904</v>
      </c>
      <c r="G181" t="s">
        <v>716</v>
      </c>
      <c r="H181" s="300" t="str">
        <f>CHAR(39)</f>
        <v>'</v>
      </c>
      <c r="I181" t="str">
        <f>TRIM(SUBSTITUTE(D181,"'","''"))</f>
        <v>Collin VanDeventer</v>
      </c>
      <c r="J181" s="300" t="str">
        <f>CHAR(39)</f>
        <v>'</v>
      </c>
      <c r="K181" t="s">
        <v>717</v>
      </c>
      <c r="L181" s="300" t="str">
        <f>CHAR(39)</f>
        <v>'</v>
      </c>
      <c r="M181" t="str">
        <f>TRIM(E181)</f>
        <v>Aftermarket (415)</v>
      </c>
      <c r="N181" s="300" t="str">
        <f>CHAR(39)</f>
        <v>'</v>
      </c>
      <c r="O181" t="s">
        <v>718</v>
      </c>
      <c r="P181" s="300" t="str">
        <f>CHAR(39)</f>
        <v>'</v>
      </c>
      <c r="Q181" t="str">
        <f>TRIM(SUBSTITUTE(IF(C181=0,"",C181),"'","''"))</f>
        <v>Owen Bryers</v>
      </c>
      <c r="R181" s="300" t="str">
        <f>CHAR(39)</f>
        <v>'</v>
      </c>
      <c r="S181" t="s">
        <v>719</v>
      </c>
      <c r="T181" s="300" t="str">
        <f>CHAR(39)</f>
        <v>'</v>
      </c>
      <c r="U181" t="str">
        <f>TRIM(SUBSTITUTE(A181,"'","''"))</f>
        <v>AFTERMARKET PARTS</v>
      </c>
      <c r="V181" s="300" t="str">
        <f>CHAR(39)</f>
        <v>'</v>
      </c>
      <c r="W181" t="s">
        <v>720</v>
      </c>
      <c r="X181">
        <f>IF(ISNUMBER(B181),B181,CHAR(39)&amp;TRIM(B181)&amp;CHAR(39))</f>
        <v>7003</v>
      </c>
      <c r="Z181" t="str">
        <f>_xlfn.CONCAT(G181:X181)</f>
        <v>update [dbo].[Inventory] Set [Auditor]  = 'Collin VanDeventer',[Building]  = 'Aftermarket (415)',[Writer] = 'Owen Bryers',[AreaDesc] = 'AFTERMARKET PARTS' where [Area]=7003</v>
      </c>
      <c r="AB181" t="s">
        <v>907</v>
      </c>
    </row>
    <row r="182" spans="1:28">
      <c r="A182" t="s">
        <v>582</v>
      </c>
      <c r="B182">
        <v>7004</v>
      </c>
      <c r="C182" t="s">
        <v>591</v>
      </c>
      <c r="D182" t="s">
        <v>590</v>
      </c>
      <c r="E182" t="s">
        <v>904</v>
      </c>
      <c r="G182" t="s">
        <v>716</v>
      </c>
      <c r="H182" s="300" t="str">
        <f>CHAR(39)</f>
        <v>'</v>
      </c>
      <c r="I182" t="str">
        <f>TRIM(SUBSTITUTE(D182,"'","''"))</f>
        <v>Collin VanDeventer</v>
      </c>
      <c r="J182" s="300" t="str">
        <f>CHAR(39)</f>
        <v>'</v>
      </c>
      <c r="K182" t="s">
        <v>717</v>
      </c>
      <c r="L182" s="300" t="str">
        <f>CHAR(39)</f>
        <v>'</v>
      </c>
      <c r="M182" t="str">
        <f>TRIM(E182)</f>
        <v>Aftermarket (415)</v>
      </c>
      <c r="N182" s="300" t="str">
        <f>CHAR(39)</f>
        <v>'</v>
      </c>
      <c r="O182" t="s">
        <v>718</v>
      </c>
      <c r="P182" s="300" t="str">
        <f>CHAR(39)</f>
        <v>'</v>
      </c>
      <c r="Q182" t="str">
        <f>TRIM(SUBSTITUTE(IF(C182=0,"",C182),"'","''"))</f>
        <v>Tess Reschke</v>
      </c>
      <c r="R182" s="300" t="str">
        <f>CHAR(39)</f>
        <v>'</v>
      </c>
      <c r="S182" t="s">
        <v>719</v>
      </c>
      <c r="T182" s="300" t="str">
        <f>CHAR(39)</f>
        <v>'</v>
      </c>
      <c r="U182" t="str">
        <f>TRIM(SUBSTITUTE(A182,"'","''"))</f>
        <v>AFTERMARKET PARTS</v>
      </c>
      <c r="V182" s="300" t="str">
        <f>CHAR(39)</f>
        <v>'</v>
      </c>
      <c r="W182" t="s">
        <v>720</v>
      </c>
      <c r="X182">
        <f>IF(ISNUMBER(B182),B182,CHAR(39)&amp;TRIM(B182)&amp;CHAR(39))</f>
        <v>7004</v>
      </c>
      <c r="Z182" t="str">
        <f>_xlfn.CONCAT(G182:X182)</f>
        <v>update [dbo].[Inventory] Set [Auditor]  = 'Collin VanDeventer',[Building]  = 'Aftermarket (415)',[Writer] = 'Tess Reschke',[AreaDesc] = 'AFTERMARKET PARTS' where [Area]=7004</v>
      </c>
      <c r="AB182" t="s">
        <v>908</v>
      </c>
    </row>
    <row r="183" spans="1:28">
      <c r="A183" t="s">
        <v>582</v>
      </c>
      <c r="B183">
        <v>7005</v>
      </c>
      <c r="C183" t="s">
        <v>593</v>
      </c>
      <c r="D183" t="s">
        <v>590</v>
      </c>
      <c r="E183" t="s">
        <v>904</v>
      </c>
      <c r="G183" t="s">
        <v>716</v>
      </c>
      <c r="H183" s="300" t="str">
        <f>CHAR(39)</f>
        <v>'</v>
      </c>
      <c r="I183" t="str">
        <f>TRIM(SUBSTITUTE(D183,"'","''"))</f>
        <v>Collin VanDeventer</v>
      </c>
      <c r="J183" s="300" t="str">
        <f>CHAR(39)</f>
        <v>'</v>
      </c>
      <c r="K183" t="s">
        <v>717</v>
      </c>
      <c r="L183" s="300" t="str">
        <f>CHAR(39)</f>
        <v>'</v>
      </c>
      <c r="M183" t="str">
        <f>TRIM(E183)</f>
        <v>Aftermarket (415)</v>
      </c>
      <c r="N183" s="300" t="str">
        <f>CHAR(39)</f>
        <v>'</v>
      </c>
      <c r="O183" t="s">
        <v>718</v>
      </c>
      <c r="P183" s="300" t="str">
        <f>CHAR(39)</f>
        <v>'</v>
      </c>
      <c r="Q183" t="str">
        <f>TRIM(SUBSTITUTE(IF(C183=0,"",C183),"'","''"))</f>
        <v>Brandi Vowell</v>
      </c>
      <c r="R183" s="300" t="str">
        <f>CHAR(39)</f>
        <v>'</v>
      </c>
      <c r="S183" t="s">
        <v>719</v>
      </c>
      <c r="T183" s="300" t="str">
        <f>CHAR(39)</f>
        <v>'</v>
      </c>
      <c r="U183" t="str">
        <f>TRIM(SUBSTITUTE(A183,"'","''"))</f>
        <v>AFTERMARKET PARTS</v>
      </c>
      <c r="V183" s="300" t="str">
        <f>CHAR(39)</f>
        <v>'</v>
      </c>
      <c r="W183" t="s">
        <v>720</v>
      </c>
      <c r="X183">
        <f>IF(ISNUMBER(B183),B183,CHAR(39)&amp;TRIM(B183)&amp;CHAR(39))</f>
        <v>7005</v>
      </c>
      <c r="Z183" t="str">
        <f>_xlfn.CONCAT(G183:X183)</f>
        <v>update [dbo].[Inventory] Set [Auditor]  = 'Collin VanDeventer',[Building]  = 'Aftermarket (415)',[Writer] = 'Brandi Vowell',[AreaDesc] = 'AFTERMARKET PARTS' where [Area]=7005</v>
      </c>
      <c r="AB183" t="s">
        <v>909</v>
      </c>
    </row>
    <row r="184" spans="1:28">
      <c r="A184" t="s">
        <v>582</v>
      </c>
      <c r="B184">
        <v>7006</v>
      </c>
      <c r="C184" t="s">
        <v>595</v>
      </c>
      <c r="D184" t="s">
        <v>585</v>
      </c>
      <c r="E184" t="s">
        <v>904</v>
      </c>
      <c r="G184" t="s">
        <v>716</v>
      </c>
      <c r="H184" s="300" t="str">
        <f>CHAR(39)</f>
        <v>'</v>
      </c>
      <c r="I184" t="str">
        <f>TRIM(SUBSTITUTE(D184,"'","''"))</f>
        <v>Devin Wallace</v>
      </c>
      <c r="J184" s="300" t="str">
        <f>CHAR(39)</f>
        <v>'</v>
      </c>
      <c r="K184" t="s">
        <v>717</v>
      </c>
      <c r="L184" s="300" t="str">
        <f>CHAR(39)</f>
        <v>'</v>
      </c>
      <c r="M184" t="str">
        <f>TRIM(E184)</f>
        <v>Aftermarket (415)</v>
      </c>
      <c r="N184" s="300" t="str">
        <f>CHAR(39)</f>
        <v>'</v>
      </c>
      <c r="O184" t="s">
        <v>718</v>
      </c>
      <c r="P184" s="300" t="str">
        <f>CHAR(39)</f>
        <v>'</v>
      </c>
      <c r="Q184" t="str">
        <f>TRIM(SUBSTITUTE(IF(C184=0,"",C184),"'","''"))</f>
        <v>Collin Lantz</v>
      </c>
      <c r="R184" s="300" t="str">
        <f>CHAR(39)</f>
        <v>'</v>
      </c>
      <c r="S184" t="s">
        <v>719</v>
      </c>
      <c r="T184" s="300" t="str">
        <f>CHAR(39)</f>
        <v>'</v>
      </c>
      <c r="U184" t="str">
        <f>TRIM(SUBSTITUTE(A184,"'","''"))</f>
        <v>AFTERMARKET PARTS</v>
      </c>
      <c r="V184" s="300" t="str">
        <f>CHAR(39)</f>
        <v>'</v>
      </c>
      <c r="W184" t="s">
        <v>720</v>
      </c>
      <c r="X184">
        <f>IF(ISNUMBER(B184),B184,CHAR(39)&amp;TRIM(B184)&amp;CHAR(39))</f>
        <v>7006</v>
      </c>
      <c r="Z184" t="str">
        <f>_xlfn.CONCAT(G184:X184)</f>
        <v>update [dbo].[Inventory] Set [Auditor]  = 'Devin Wallace',[Building]  = 'Aftermarket (415)',[Writer] = 'Collin Lantz',[AreaDesc] = 'AFTERMARKET PARTS' where [Area]=7006</v>
      </c>
      <c r="AB184" t="s">
        <v>910</v>
      </c>
    </row>
    <row r="185" spans="1:28">
      <c r="A185" t="s">
        <v>582</v>
      </c>
      <c r="B185">
        <v>7007</v>
      </c>
      <c r="C185" t="s">
        <v>597</v>
      </c>
      <c r="D185" t="s">
        <v>585</v>
      </c>
      <c r="E185" t="s">
        <v>904</v>
      </c>
      <c r="G185" t="s">
        <v>716</v>
      </c>
      <c r="H185" s="300" t="str">
        <f>CHAR(39)</f>
        <v>'</v>
      </c>
      <c r="I185" t="str">
        <f>TRIM(SUBSTITUTE(D185,"'","''"))</f>
        <v>Devin Wallace</v>
      </c>
      <c r="J185" s="300" t="str">
        <f>CHAR(39)</f>
        <v>'</v>
      </c>
      <c r="K185" t="s">
        <v>717</v>
      </c>
      <c r="L185" s="300" t="str">
        <f>CHAR(39)</f>
        <v>'</v>
      </c>
      <c r="M185" t="str">
        <f>TRIM(E185)</f>
        <v>Aftermarket (415)</v>
      </c>
      <c r="N185" s="300" t="str">
        <f>CHAR(39)</f>
        <v>'</v>
      </c>
      <c r="O185" t="s">
        <v>718</v>
      </c>
      <c r="P185" s="300" t="str">
        <f>CHAR(39)</f>
        <v>'</v>
      </c>
      <c r="Q185" t="str">
        <f>TRIM(SUBSTITUTE(IF(C185=0,"",C185),"'","''"))</f>
        <v>Brianna Mendoza (M)</v>
      </c>
      <c r="R185" s="300" t="str">
        <f>CHAR(39)</f>
        <v>'</v>
      </c>
      <c r="S185" t="s">
        <v>719</v>
      </c>
      <c r="T185" s="300" t="str">
        <f>CHAR(39)</f>
        <v>'</v>
      </c>
      <c r="U185" t="str">
        <f>TRIM(SUBSTITUTE(A185,"'","''"))</f>
        <v>AFTERMARKET PARTS</v>
      </c>
      <c r="V185" s="300" t="str">
        <f>CHAR(39)</f>
        <v>'</v>
      </c>
      <c r="W185" t="s">
        <v>720</v>
      </c>
      <c r="X185">
        <f>IF(ISNUMBER(B185),B185,CHAR(39)&amp;TRIM(B185)&amp;CHAR(39))</f>
        <v>7007</v>
      </c>
      <c r="Z185" t="str">
        <f>_xlfn.CONCAT(G185:X185)</f>
        <v>update [dbo].[Inventory] Set [Auditor]  = 'Devin Wallace',[Building]  = 'Aftermarket (415)',[Writer] = 'Brianna Mendoza (M)',[AreaDesc] = 'AFTERMARKET PARTS' where [Area]=7007</v>
      </c>
      <c r="AB185" t="s">
        <v>911</v>
      </c>
    </row>
    <row r="186" spans="1:28">
      <c r="A186" t="s">
        <v>600</v>
      </c>
      <c r="B186">
        <v>4049</v>
      </c>
      <c r="C186" t="s">
        <v>601</v>
      </c>
      <c r="D186" t="s">
        <v>603</v>
      </c>
      <c r="E186" t="s">
        <v>912</v>
      </c>
      <c r="G186" t="s">
        <v>716</v>
      </c>
      <c r="H186" s="300" t="str">
        <f>CHAR(39)</f>
        <v>'</v>
      </c>
      <c r="I186" t="str">
        <f>TRIM(SUBSTITUTE(D186,"'","''"))</f>
        <v>Blain Trosper</v>
      </c>
      <c r="J186" s="300" t="str">
        <f>CHAR(39)</f>
        <v>'</v>
      </c>
      <c r="K186" t="s">
        <v>717</v>
      </c>
      <c r="L186" s="300" t="str">
        <f>CHAR(39)</f>
        <v>'</v>
      </c>
      <c r="M186" t="str">
        <f>TRIM(E186)</f>
        <v>Shipping Building</v>
      </c>
      <c r="N186" s="300" t="str">
        <f>CHAR(39)</f>
        <v>'</v>
      </c>
      <c r="O186" t="s">
        <v>718</v>
      </c>
      <c r="P186" s="300" t="str">
        <f>CHAR(39)</f>
        <v>'</v>
      </c>
      <c r="Q186" t="str">
        <f>TRIM(SUBSTITUTE(IF(C186=0,"",C186),"'","''"))</f>
        <v>Daniel Degraff</v>
      </c>
      <c r="R186" s="300" t="str">
        <f>CHAR(39)</f>
        <v>'</v>
      </c>
      <c r="S186" t="s">
        <v>719</v>
      </c>
      <c r="T186" s="300" t="str">
        <f>CHAR(39)</f>
        <v>'</v>
      </c>
      <c r="U186" t="str">
        <f>TRIM(SUBSTITUTE(A186,"'","''"))</f>
        <v>FINISHED GOODS</v>
      </c>
      <c r="V186" s="300" t="str">
        <f>CHAR(39)</f>
        <v>'</v>
      </c>
      <c r="W186" t="s">
        <v>720</v>
      </c>
      <c r="X186">
        <f>IF(ISNUMBER(B186),B186,CHAR(39)&amp;TRIM(B186)&amp;CHAR(39))</f>
        <v>4049</v>
      </c>
      <c r="Z186" t="str">
        <f>_xlfn.CONCAT(G186:X186)</f>
        <v>update [dbo].[Inventory] Set [Auditor]  = 'Blain Trosper',[Building]  = 'Shipping Building',[Writer] = 'Daniel Degraff',[AreaDesc] = 'FINISHED GOODS' where [Area]=4049</v>
      </c>
      <c r="AB186" t="s">
        <v>913</v>
      </c>
    </row>
    <row r="187" spans="1:28">
      <c r="A187" t="s">
        <v>605</v>
      </c>
      <c r="B187">
        <v>4050</v>
      </c>
      <c r="D187" t="s">
        <v>606</v>
      </c>
      <c r="E187" t="s">
        <v>914</v>
      </c>
      <c r="G187" t="s">
        <v>716</v>
      </c>
      <c r="H187" s="300" t="str">
        <f>CHAR(39)</f>
        <v>'</v>
      </c>
      <c r="I187" t="str">
        <f>TRIM(SUBSTITUTE(D187,"'","''"))</f>
        <v>John Buwalda</v>
      </c>
      <c r="J187" s="300" t="str">
        <f>CHAR(39)</f>
        <v>'</v>
      </c>
      <c r="K187" t="s">
        <v>717</v>
      </c>
      <c r="L187" s="300" t="str">
        <f>CHAR(39)</f>
        <v>'</v>
      </c>
      <c r="M187" t="str">
        <f>TRIM(E187)</f>
        <v>Other Locations</v>
      </c>
      <c r="N187" s="300" t="str">
        <f>CHAR(39)</f>
        <v>'</v>
      </c>
      <c r="O187" t="s">
        <v>718</v>
      </c>
      <c r="P187" s="300" t="str">
        <f>CHAR(39)</f>
        <v>'</v>
      </c>
      <c r="Q187" t="str">
        <f>TRIM(SUBSTITUTE(IF(C187=0,"",C187),"'","''"))</f>
        <v/>
      </c>
      <c r="R187" s="300" t="str">
        <f>CHAR(39)</f>
        <v>'</v>
      </c>
      <c r="S187" t="s">
        <v>719</v>
      </c>
      <c r="T187" s="300" t="str">
        <f>CHAR(39)</f>
        <v>'</v>
      </c>
      <c r="U187" t="str">
        <f>TRIM(SUBSTITUTE(A187,"'","''"))</f>
        <v>OFF PREMISE INVENTORY</v>
      </c>
      <c r="V187" s="300" t="str">
        <f>CHAR(39)</f>
        <v>'</v>
      </c>
      <c r="W187" t="s">
        <v>720</v>
      </c>
      <c r="X187">
        <f>IF(ISNUMBER(B187),B187,CHAR(39)&amp;TRIM(B187)&amp;CHAR(39))</f>
        <v>4050</v>
      </c>
      <c r="Z187" t="str">
        <f>_xlfn.CONCAT(G187:X187)</f>
        <v>update [dbo].[Inventory] Set [Auditor]  = 'John Buwalda',[Building]  = 'Other Locations',[Writer] = '',[AreaDesc] = 'OFF PREMISE INVENTORY' where [Area]=4050</v>
      </c>
      <c r="AB187" t="s">
        <v>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53F87B3617E43B6191CC969AE87C6" ma:contentTypeVersion="12" ma:contentTypeDescription="Create a new document." ma:contentTypeScope="" ma:versionID="69d9175a561a1a9b7349973bfbe01f2d">
  <xsd:schema xmlns:xsd="http://www.w3.org/2001/XMLSchema" xmlns:xs="http://www.w3.org/2001/XMLSchema" xmlns:p="http://schemas.microsoft.com/office/2006/metadata/properties" xmlns:ns2="dfcad5c1-53c5-47c9-9d0d-6cea746ec342" xmlns:ns3="fb12abce-3f74-4717-b4d3-bd28a361cd91" targetNamespace="http://schemas.microsoft.com/office/2006/metadata/properties" ma:root="true" ma:fieldsID="baf8483b1740a2ec8efd339e3be85b8c" ns2:_="" ns3:_="">
    <xsd:import namespace="dfcad5c1-53c5-47c9-9d0d-6cea746ec342"/>
    <xsd:import namespace="fb12abce-3f74-4717-b4d3-bd28a361cd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ad5c1-53c5-47c9-9d0d-6cea746ec3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abce-3f74-4717-b4d3-bd28a361c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12abce-3f74-4717-b4d3-bd28a361cd91">
      <UserInfo>
        <DisplayName>Brenda Osborne</DisplayName>
        <AccountId>77</AccountId>
        <AccountType/>
      </UserInfo>
    </SharedWithUsers>
  </documentManagement>
</p:properties>
</file>

<file path=customXml/item4.xml>��
</file>

<file path=customXml/itemProps1.xml><?xml version="1.0" encoding="utf-8"?>
<ds:datastoreItem xmlns:ds="http://schemas.openxmlformats.org/officeDocument/2006/customXml" ds:itemID="{9B6FC834-127D-4478-AE60-12F54C4ABE35}"/>
</file>

<file path=customXml/itemProps2.xml><?xml version="1.0" encoding="utf-8"?>
<ds:datastoreItem xmlns:ds="http://schemas.openxmlformats.org/officeDocument/2006/customXml" ds:itemID="{30CA9BBB-6E6C-4A50-9977-93E394626160}"/>
</file>

<file path=customXml/itemProps3.xml><?xml version="1.0" encoding="utf-8"?>
<ds:datastoreItem xmlns:ds="http://schemas.openxmlformats.org/officeDocument/2006/customXml" ds:itemID="{252090F5-72D1-4B59-A01F-C361F9628086}"/>
</file>

<file path=customXml/itemProps4.xml><?xml version="1.0" encoding="utf-8"?>
<ds:datastoreItem xmlns:ds="http://schemas.openxmlformats.org/officeDocument/2006/customXml" ds:itemID="{3253EE0D-95ED-4E50-BB2D-3EF912812C63}"/>
</file>

<file path=docMetadata/LabelInfo.xml><?xml version="1.0" encoding="utf-8"?>
<clbl:labelList xmlns:clbl="http://schemas.microsoft.com/office/2020/mipLabelMetadata">
  <clbl:label id="{85f78c4c-ad11-4735-9624-0b2c11611dff}" enabled="0" method="" siteId="{85f78c4c-ad11-4735-9624-0b2c11611d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Polaris Industries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Kiisa Biermaker</dc:creator>
  <cp:keywords/>
  <dc:description/>
  <cp:lastModifiedBy/>
  <cp:revision/>
  <dcterms:created xsi:type="dcterms:W3CDTF">2023-03-03T03:36:56Z</dcterms:created>
  <dcterms:modified xsi:type="dcterms:W3CDTF">2026-03-11T14:42:42Z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0x01010082753F87B3617E43B6191CC969AE87C6</vt:lpwstr>
  </property>
</Properties>
</file>